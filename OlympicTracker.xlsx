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Common\Committees\Donations Committee\2026 Donations\TeleMiracle50\Olympics\"/>
    </mc:Choice>
  </mc:AlternateContent>
  <xr:revisionPtr revIDLastSave="0" documentId="13_ncr:1_{248059F4-FFF8-4C0E-8E23-642EF13DE9D0}" xr6:coauthVersionLast="47" xr6:coauthVersionMax="47" xr10:uidLastSave="{00000000-0000-0000-0000-000000000000}"/>
  <bookViews>
    <workbookView xWindow="28680" yWindow="-120" windowWidth="29040" windowHeight="15720" xr2:uid="{455CBBFA-E652-4093-8621-B25A0F446318}"/>
  </bookViews>
  <sheets>
    <sheet name="Display Points" sheetId="12" r:id="rId1"/>
    <sheet name="Events" sheetId="3" r:id="rId2"/>
    <sheet name="Medal Count" sheetId="5" r:id="rId3"/>
    <sheet name="participants" sheetId="4" r:id="rId4"/>
  </sheets>
  <definedNames>
    <definedName name="_xlnm._FilterDatabase" localSheetId="0" hidden="1">'Display Points'!$A$1:$B$1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I3" i="3" s="1" a="1"/>
  <c r="I3" i="3" s="1"/>
  <c r="C4" i="3"/>
  <c r="I4" i="3" s="1" a="1"/>
  <c r="I4" i="3" s="1"/>
  <c r="C5" i="3"/>
  <c r="J5" i="3" s="1" a="1"/>
  <c r="J5" i="3" s="1"/>
  <c r="C6" i="3"/>
  <c r="I6" i="3" s="1" a="1"/>
  <c r="I6" i="3" s="1"/>
  <c r="C7" i="3"/>
  <c r="K7" i="3" s="1" a="1"/>
  <c r="K7" i="3" s="1"/>
  <c r="C8" i="3"/>
  <c r="I8" i="3" s="1" a="1"/>
  <c r="I8" i="3" s="1"/>
  <c r="C9" i="3"/>
  <c r="K9" i="3" s="1" a="1"/>
  <c r="K9" i="3" s="1"/>
  <c r="C10" i="3"/>
  <c r="I10" i="3" s="1" a="1"/>
  <c r="I10" i="3" s="1"/>
  <c r="C11" i="3"/>
  <c r="K11" i="3" s="1" a="1"/>
  <c r="K11" i="3" s="1"/>
  <c r="C12" i="3"/>
  <c r="J12" i="3" s="1" a="1"/>
  <c r="J12" i="3" s="1"/>
  <c r="C13" i="3"/>
  <c r="I13" i="3" s="1" a="1"/>
  <c r="I13" i="3" s="1"/>
  <c r="C14" i="3"/>
  <c r="I14" i="3" s="1" a="1"/>
  <c r="I14" i="3" s="1"/>
  <c r="C15" i="3"/>
  <c r="K15" i="3" s="1" a="1"/>
  <c r="K15" i="3" s="1"/>
  <c r="C16" i="3"/>
  <c r="I16" i="3" s="1" a="1"/>
  <c r="I16" i="3" s="1"/>
  <c r="C17" i="3"/>
  <c r="I17" i="3" s="1" a="1"/>
  <c r="I17" i="3" s="1"/>
  <c r="C18" i="3"/>
  <c r="I18" i="3" s="1" a="1"/>
  <c r="I18" i="3" s="1"/>
  <c r="C19" i="3"/>
  <c r="I19" i="3" s="1" a="1"/>
  <c r="I19" i="3" s="1"/>
  <c r="C20" i="3"/>
  <c r="I20" i="3" s="1" a="1"/>
  <c r="I20" i="3" s="1"/>
  <c r="C21" i="3"/>
  <c r="I21" i="3" s="1" a="1"/>
  <c r="I21" i="3" s="1"/>
  <c r="C22" i="3"/>
  <c r="I22" i="3" s="1" a="1"/>
  <c r="I22" i="3" s="1"/>
  <c r="C23" i="3"/>
  <c r="K23" i="3" s="1" a="1"/>
  <c r="K23" i="3" s="1"/>
  <c r="C24" i="3"/>
  <c r="J24" i="3" s="1" a="1"/>
  <c r="J24" i="3" s="1"/>
  <c r="C25" i="3"/>
  <c r="J25" i="3" s="1" a="1"/>
  <c r="J25" i="3" s="1"/>
  <c r="C26" i="3"/>
  <c r="K26" i="3" s="1" a="1"/>
  <c r="K26" i="3" s="1"/>
  <c r="C27" i="3"/>
  <c r="I27" i="3" s="1" a="1"/>
  <c r="I27" i="3" s="1"/>
  <c r="C28" i="3"/>
  <c r="K28" i="3" s="1" a="1"/>
  <c r="K28" i="3" s="1"/>
  <c r="C29" i="3"/>
  <c r="I29" i="3" s="1" a="1"/>
  <c r="I29" i="3" s="1"/>
  <c r="C30" i="3"/>
  <c r="K30" i="3" s="1" a="1"/>
  <c r="K30" i="3" s="1"/>
  <c r="C31" i="3"/>
  <c r="I31" i="3" s="1" a="1"/>
  <c r="I31" i="3" s="1"/>
  <c r="C32" i="3"/>
  <c r="K32" i="3" s="1" a="1"/>
  <c r="K32" i="3" s="1"/>
  <c r="C33" i="3"/>
  <c r="I33" i="3" s="1" a="1"/>
  <c r="I33" i="3" s="1"/>
  <c r="C34" i="3"/>
  <c r="I34" i="3" s="1" a="1"/>
  <c r="I34" i="3" s="1"/>
  <c r="C35" i="3"/>
  <c r="I35" i="3" s="1" a="1"/>
  <c r="I35" i="3" s="1"/>
  <c r="C36" i="3"/>
  <c r="I36" i="3" s="1" a="1"/>
  <c r="I36" i="3" s="1"/>
  <c r="C37" i="3"/>
  <c r="I37" i="3" s="1" a="1"/>
  <c r="I37" i="3" s="1"/>
  <c r="C38" i="3"/>
  <c r="I38" i="3" s="1" a="1"/>
  <c r="I38" i="3" s="1"/>
  <c r="C39" i="3"/>
  <c r="J39" i="3" s="1" a="1"/>
  <c r="J39" i="3" s="1"/>
  <c r="C40" i="3"/>
  <c r="K40" i="3" s="1" a="1"/>
  <c r="K40" i="3" s="1"/>
  <c r="C41" i="3"/>
  <c r="I41" i="3" s="1" a="1"/>
  <c r="I41" i="3" s="1"/>
  <c r="C42" i="3"/>
  <c r="K42" i="3" s="1" a="1"/>
  <c r="K42" i="3" s="1"/>
  <c r="C43" i="3"/>
  <c r="J43" i="3" s="1" a="1"/>
  <c r="J43" i="3" s="1"/>
  <c r="C44" i="3"/>
  <c r="K44" i="3" s="1" a="1"/>
  <c r="K44" i="3" s="1"/>
  <c r="C45" i="3"/>
  <c r="J45" i="3" s="1" a="1"/>
  <c r="J45" i="3" s="1"/>
  <c r="C46" i="3"/>
  <c r="I46" i="3" s="1" a="1"/>
  <c r="I46" i="3" s="1"/>
  <c r="C47" i="3"/>
  <c r="I47" i="3" s="1" a="1"/>
  <c r="I47" i="3" s="1"/>
  <c r="C48" i="3"/>
  <c r="K48" i="3" s="1" a="1"/>
  <c r="K48" i="3" s="1"/>
  <c r="C49" i="3"/>
  <c r="K49" i="3" s="1" a="1"/>
  <c r="K49" i="3" s="1"/>
  <c r="C50" i="3"/>
  <c r="I50" i="3" s="1" a="1"/>
  <c r="I50" i="3" s="1"/>
  <c r="C51" i="3"/>
  <c r="J51" i="3" s="1" a="1"/>
  <c r="J51" i="3" s="1"/>
  <c r="C52" i="3"/>
  <c r="I52" i="3" s="1" a="1"/>
  <c r="I52" i="3" s="1"/>
  <c r="C53" i="3"/>
  <c r="I53" i="3" s="1" a="1"/>
  <c r="I53" i="3" s="1"/>
  <c r="C54" i="3"/>
  <c r="K54" i="3" s="1" a="1"/>
  <c r="K54" i="3" s="1"/>
  <c r="C55" i="3"/>
  <c r="I55" i="3" s="1" a="1"/>
  <c r="I55" i="3" s="1"/>
  <c r="C56" i="3"/>
  <c r="I56" i="3" s="1" a="1"/>
  <c r="I56" i="3" s="1"/>
  <c r="C57" i="3"/>
  <c r="J57" i="3" s="1" a="1"/>
  <c r="J57" i="3" s="1"/>
  <c r="C58" i="3"/>
  <c r="I58" i="3" s="1" a="1"/>
  <c r="I58" i="3" s="1"/>
  <c r="C59" i="3"/>
  <c r="K59" i="3" s="1" a="1"/>
  <c r="K59" i="3" s="1"/>
  <c r="C60" i="3"/>
  <c r="I60" i="3" s="1" a="1"/>
  <c r="I60" i="3" s="1"/>
  <c r="C61" i="3"/>
  <c r="I61" i="3" s="1" a="1"/>
  <c r="I61" i="3" s="1"/>
  <c r="C62" i="3"/>
  <c r="I62" i="3" s="1" a="1"/>
  <c r="I62" i="3" s="1"/>
  <c r="C63" i="3"/>
  <c r="I63" i="3" s="1" a="1"/>
  <c r="I63" i="3" s="1"/>
  <c r="C64" i="3"/>
  <c r="J64" i="3" s="1" a="1"/>
  <c r="J64" i="3" s="1"/>
  <c r="C65" i="3"/>
  <c r="K65" i="3" s="1" a="1"/>
  <c r="K65" i="3" s="1"/>
  <c r="C66" i="3"/>
  <c r="J66" i="3" s="1" a="1"/>
  <c r="J66" i="3" s="1"/>
  <c r="C67" i="3"/>
  <c r="I67" i="3" s="1" a="1"/>
  <c r="I67" i="3" s="1"/>
  <c r="C68" i="3"/>
  <c r="I68" i="3" s="1" a="1"/>
  <c r="I68" i="3" s="1"/>
  <c r="C69" i="3"/>
  <c r="I69" i="3" s="1" a="1"/>
  <c r="I69" i="3" s="1"/>
  <c r="C70" i="3"/>
  <c r="K70" i="3" s="1" a="1"/>
  <c r="K70" i="3" s="1"/>
  <c r="C71" i="3"/>
  <c r="I71" i="3" s="1" a="1"/>
  <c r="I71" i="3" s="1"/>
  <c r="C72" i="3"/>
  <c r="I72" i="3" s="1" a="1"/>
  <c r="I72" i="3" s="1"/>
  <c r="C73" i="3"/>
  <c r="I73" i="3" s="1" a="1"/>
  <c r="I73" i="3" s="1"/>
  <c r="C74" i="3"/>
  <c r="K74" i="3" s="1" a="1"/>
  <c r="K74" i="3" s="1"/>
  <c r="C75" i="3"/>
  <c r="I75" i="3" s="1" a="1"/>
  <c r="I75" i="3" s="1"/>
  <c r="C76" i="3"/>
  <c r="J76" i="3" s="1" a="1"/>
  <c r="J76" i="3" s="1"/>
  <c r="C77" i="3"/>
  <c r="I77" i="3" s="1" a="1"/>
  <c r="I77" i="3" s="1"/>
  <c r="C78" i="3"/>
  <c r="K78" i="3" s="1" a="1"/>
  <c r="K78" i="3" s="1"/>
  <c r="C79" i="3"/>
  <c r="I79" i="3" s="1" a="1"/>
  <c r="I79" i="3" s="1"/>
  <c r="C80" i="3"/>
  <c r="I80" i="3" s="1" a="1"/>
  <c r="I80" i="3" s="1"/>
  <c r="C81" i="3"/>
  <c r="J81" i="3" s="1" a="1"/>
  <c r="J81" i="3" s="1"/>
  <c r="C82" i="3"/>
  <c r="I82" i="3" s="1" a="1"/>
  <c r="I82" i="3" s="1"/>
  <c r="C83" i="3"/>
  <c r="I83" i="3" s="1" a="1"/>
  <c r="I83" i="3" s="1"/>
  <c r="C84" i="3"/>
  <c r="I84" i="3" s="1" a="1"/>
  <c r="I84" i="3" s="1"/>
  <c r="C85" i="3"/>
  <c r="I85" i="3" s="1" a="1"/>
  <c r="I85" i="3" s="1"/>
  <c r="C86" i="3"/>
  <c r="I86" i="3" s="1" a="1"/>
  <c r="I86" i="3" s="1"/>
  <c r="C87" i="3"/>
  <c r="J87" i="3" s="1" a="1"/>
  <c r="J87" i="3" s="1"/>
  <c r="C88" i="3"/>
  <c r="I88" i="3" s="1" a="1"/>
  <c r="I88" i="3" s="1"/>
  <c r="C89" i="3"/>
  <c r="K89" i="3" s="1" a="1"/>
  <c r="K89" i="3" s="1"/>
  <c r="C90" i="3"/>
  <c r="I90" i="3" s="1" a="1"/>
  <c r="I90" i="3" s="1"/>
  <c r="C91" i="3"/>
  <c r="K91" i="3" s="1" a="1"/>
  <c r="K91" i="3" s="1"/>
  <c r="C92" i="3"/>
  <c r="J92" i="3" s="1" a="1"/>
  <c r="J92" i="3" s="1"/>
  <c r="C93" i="3"/>
  <c r="I93" i="3" s="1" a="1"/>
  <c r="I93" i="3" s="1"/>
  <c r="C2" i="3"/>
  <c r="K2" i="3" s="1" a="1"/>
  <c r="K2" i="3" s="1"/>
  <c r="J34" i="3" l="1" a="1"/>
  <c r="J34" i="3" s="1"/>
  <c r="I2" i="3" a="1"/>
  <c r="I2" i="3" s="1"/>
  <c r="I87" i="3" a="1"/>
  <c r="I87" i="3" s="1"/>
  <c r="I74" i="3" a="1"/>
  <c r="I74" i="3" s="1"/>
  <c r="K56" i="3" a="1"/>
  <c r="K56" i="3" s="1"/>
  <c r="J2" i="3" a="1"/>
  <c r="J2" i="3" s="1"/>
  <c r="K34" i="3" a="1"/>
  <c r="K34" i="3" s="1"/>
  <c r="J15" i="3" a="1"/>
  <c r="J15" i="3" s="1"/>
  <c r="I15" i="3" a="1"/>
  <c r="I15" i="3" s="1"/>
  <c r="K14" i="3" a="1"/>
  <c r="K14" i="3" s="1"/>
  <c r="I70" i="3" a="1"/>
  <c r="I70" i="3" s="1"/>
  <c r="K69" i="3" a="1"/>
  <c r="K69" i="3" s="1"/>
  <c r="J68" i="3" a="1"/>
  <c r="J68" i="3" s="1"/>
  <c r="J28" i="3" a="1"/>
  <c r="J28" i="3" s="1"/>
  <c r="I28" i="3" a="1"/>
  <c r="I28" i="3" s="1"/>
  <c r="J50" i="3" a="1"/>
  <c r="J50" i="3" s="1"/>
  <c r="J49" i="3" a="1"/>
  <c r="J49" i="3" s="1"/>
  <c r="J48" i="3" a="1"/>
  <c r="J48" i="3" s="1"/>
  <c r="K88" i="3" a="1"/>
  <c r="K88" i="3" s="1"/>
  <c r="J14" i="3" a="1"/>
  <c r="J14" i="3" s="1"/>
  <c r="L14" i="3" s="1"/>
  <c r="J70" i="3" a="1"/>
  <c r="J70" i="3" s="1"/>
  <c r="I91" i="3" a="1"/>
  <c r="I91" i="3" s="1"/>
  <c r="J88" i="3" a="1"/>
  <c r="J88" i="3" s="1"/>
  <c r="J47" i="3" a="1"/>
  <c r="J47" i="3" s="1"/>
  <c r="J10" i="3" a="1"/>
  <c r="J10" i="3" s="1"/>
  <c r="K31" i="3" a="1"/>
  <c r="K31" i="3" s="1"/>
  <c r="K68" i="3" a="1"/>
  <c r="K68" i="3" s="1"/>
  <c r="J30" i="3" a="1"/>
  <c r="J30" i="3" s="1"/>
  <c r="J53" i="3" a="1"/>
  <c r="J53" i="3" s="1"/>
  <c r="K27" i="3" a="1"/>
  <c r="K27" i="3" s="1"/>
  <c r="I48" i="3" a="1"/>
  <c r="I48" i="3" s="1"/>
  <c r="K90" i="3" a="1"/>
  <c r="K90" i="3" s="1"/>
  <c r="L90" i="3" s="1"/>
  <c r="K47" i="3" a="1"/>
  <c r="K47" i="3" s="1"/>
  <c r="J8" i="3" a="1"/>
  <c r="J8" i="3" s="1"/>
  <c r="J89" i="3" a="1"/>
  <c r="J89" i="3" s="1"/>
  <c r="I30" i="3" a="1"/>
  <c r="I30" i="3" s="1"/>
  <c r="I89" i="3" a="1"/>
  <c r="I89" i="3" s="1"/>
  <c r="I57" i="3" a="1"/>
  <c r="I57" i="3" s="1"/>
  <c r="J29" i="3" a="1"/>
  <c r="J29" i="3" s="1"/>
  <c r="K10" i="3" a="1"/>
  <c r="K10" i="3" s="1"/>
  <c r="L10" i="3" s="1"/>
  <c r="J40" i="3" a="1"/>
  <c r="J40" i="3" s="1"/>
  <c r="J78" i="3" a="1"/>
  <c r="J78" i="3" s="1"/>
  <c r="K55" i="3" a="1"/>
  <c r="K55" i="3" s="1"/>
  <c r="J36" i="3" a="1"/>
  <c r="J36" i="3" s="1"/>
  <c r="J55" i="3" a="1"/>
  <c r="J55" i="3" s="1"/>
  <c r="K35" i="3" a="1"/>
  <c r="K35" i="3" s="1"/>
  <c r="J27" i="3" a="1"/>
  <c r="J27" i="3" s="1"/>
  <c r="J9" i="3" a="1"/>
  <c r="J9" i="3" s="1"/>
  <c r="I78" i="3" a="1"/>
  <c r="I78" i="3" s="1"/>
  <c r="K53" i="3" a="1"/>
  <c r="K53" i="3" s="1"/>
  <c r="K19" i="3" a="1"/>
  <c r="K19" i="3" s="1"/>
  <c r="I9" i="3" a="1"/>
  <c r="I9" i="3" s="1"/>
  <c r="J56" i="3" a="1"/>
  <c r="J56" i="3" s="1"/>
  <c r="I40" i="3" a="1"/>
  <c r="I40" i="3" s="1"/>
  <c r="K36" i="3" a="1"/>
  <c r="K36" i="3" s="1"/>
  <c r="K77" i="3" a="1"/>
  <c r="K77" i="3" s="1"/>
  <c r="J35" i="3" a="1"/>
  <c r="J35" i="3" s="1"/>
  <c r="K18" i="3" a="1"/>
  <c r="K18" i="3" s="1"/>
  <c r="J74" i="3" a="1"/>
  <c r="J74" i="3" s="1"/>
  <c r="L74" i="3" s="1"/>
  <c r="I51" i="3" a="1"/>
  <c r="I51" i="3" s="1"/>
  <c r="J18" i="3" a="1"/>
  <c r="J18" i="3" s="1"/>
  <c r="J7" i="3" a="1"/>
  <c r="J7" i="3" s="1"/>
  <c r="K13" i="3" a="1"/>
  <c r="K13" i="3" s="1"/>
  <c r="I24" i="3" a="1"/>
  <c r="I24" i="3" s="1"/>
  <c r="J13" i="3" a="1"/>
  <c r="J13" i="3" s="1"/>
  <c r="K39" i="3" a="1"/>
  <c r="K39" i="3" s="1"/>
  <c r="J31" i="3" a="1"/>
  <c r="J31" i="3" s="1"/>
  <c r="J90" i="3" a="1"/>
  <c r="J90" i="3" s="1"/>
  <c r="J69" i="3" a="1"/>
  <c r="J69" i="3" s="1"/>
  <c r="I49" i="3" a="1"/>
  <c r="I49" i="3" s="1"/>
  <c r="J19" i="3" a="1"/>
  <c r="J19" i="3" s="1"/>
  <c r="J11" i="3" a="1"/>
  <c r="J11" i="3" s="1"/>
  <c r="J77" i="3" a="1"/>
  <c r="J77" i="3" s="1"/>
  <c r="I11" i="3" a="1"/>
  <c r="I11" i="3" s="1"/>
  <c r="K73" i="3" a="1"/>
  <c r="K73" i="3" s="1"/>
  <c r="J73" i="3" a="1"/>
  <c r="J73" i="3" s="1"/>
  <c r="K52" i="3" a="1"/>
  <c r="K52" i="3" s="1"/>
  <c r="K61" i="3" a="1"/>
  <c r="K61" i="3" s="1"/>
  <c r="J52" i="3" a="1"/>
  <c r="J52" i="3" s="1"/>
  <c r="K72" i="3" a="1"/>
  <c r="K72" i="3" s="1"/>
  <c r="J61" i="3" a="1"/>
  <c r="J61" i="3" s="1"/>
  <c r="K93" i="3" a="1"/>
  <c r="K93" i="3" s="1"/>
  <c r="K82" i="3" a="1"/>
  <c r="K82" i="3" s="1"/>
  <c r="J72" i="3" a="1"/>
  <c r="J72" i="3" s="1"/>
  <c r="I45" i="3" a="1"/>
  <c r="I45" i="3" s="1"/>
  <c r="K33" i="3" a="1"/>
  <c r="K33" i="3" s="1"/>
  <c r="J93" i="3" a="1"/>
  <c r="J93" i="3" s="1"/>
  <c r="J82" i="3" a="1"/>
  <c r="J82" i="3" s="1"/>
  <c r="K71" i="3" a="1"/>
  <c r="K71" i="3" s="1"/>
  <c r="K57" i="3" a="1"/>
  <c r="K57" i="3" s="1"/>
  <c r="K51" i="3" a="1"/>
  <c r="K51" i="3" s="1"/>
  <c r="J32" i="3" a="1"/>
  <c r="J32" i="3" s="1"/>
  <c r="J91" i="3" a="1"/>
  <c r="J91" i="3" s="1"/>
  <c r="I32" i="3" a="1"/>
  <c r="I32" i="3" s="1"/>
  <c r="L32" i="3" s="1"/>
  <c r="I7" i="3" a="1"/>
  <c r="I7" i="3" s="1"/>
  <c r="J44" i="3" a="1"/>
  <c r="J44" i="3" s="1"/>
  <c r="K6" i="3" a="1"/>
  <c r="K6" i="3" s="1"/>
  <c r="I23" i="3" a="1"/>
  <c r="I23" i="3" s="1"/>
  <c r="K5" i="3" a="1"/>
  <c r="K5" i="3" s="1"/>
  <c r="K43" i="3" a="1"/>
  <c r="K43" i="3" s="1"/>
  <c r="J85" i="3" a="1"/>
  <c r="J85" i="3" s="1"/>
  <c r="J60" i="3" a="1"/>
  <c r="J60" i="3" s="1"/>
  <c r="I39" i="3" a="1"/>
  <c r="I39" i="3" s="1"/>
  <c r="K76" i="3" a="1"/>
  <c r="K76" i="3" s="1"/>
  <c r="I64" i="3" a="1"/>
  <c r="I64" i="3" s="1"/>
  <c r="K80" i="3" a="1"/>
  <c r="K80" i="3" s="1"/>
  <c r="K84" i="3" a="1"/>
  <c r="K84" i="3" s="1"/>
  <c r="K63" i="3" a="1"/>
  <c r="K63" i="3" s="1"/>
  <c r="J59" i="3" a="1"/>
  <c r="J59" i="3" s="1"/>
  <c r="K46" i="3" a="1"/>
  <c r="K46" i="3" s="1"/>
  <c r="J42" i="3" a="1"/>
  <c r="J42" i="3" s="1"/>
  <c r="J38" i="3" a="1"/>
  <c r="J38" i="3" s="1"/>
  <c r="K25" i="3" a="1"/>
  <c r="K25" i="3" s="1"/>
  <c r="J17" i="3" a="1"/>
  <c r="J17" i="3" s="1"/>
  <c r="K4" i="3" a="1"/>
  <c r="K4" i="3" s="1"/>
  <c r="K92" i="3" a="1"/>
  <c r="K92" i="3" s="1"/>
  <c r="J84" i="3" a="1"/>
  <c r="J84" i="3" s="1"/>
  <c r="J80" i="3" a="1"/>
  <c r="J80" i="3" s="1"/>
  <c r="I76" i="3" a="1"/>
  <c r="I76" i="3" s="1"/>
  <c r="K67" i="3" a="1"/>
  <c r="K67" i="3" s="1"/>
  <c r="J63" i="3" a="1"/>
  <c r="J63" i="3" s="1"/>
  <c r="I59" i="3" a="1"/>
  <c r="I59" i="3" s="1"/>
  <c r="K50" i="3" a="1"/>
  <c r="K50" i="3" s="1"/>
  <c r="J46" i="3" a="1"/>
  <c r="J46" i="3" s="1"/>
  <c r="K29" i="3" a="1"/>
  <c r="K29" i="3" s="1"/>
  <c r="J21" i="3" a="1"/>
  <c r="J21" i="3" s="1"/>
  <c r="K8" i="3" a="1"/>
  <c r="K8" i="3" s="1"/>
  <c r="J4" i="3" a="1"/>
  <c r="J4" i="3" s="1"/>
  <c r="I44" i="3" a="1"/>
  <c r="I44" i="3" s="1"/>
  <c r="K85" i="3" a="1"/>
  <c r="K85" i="3" s="1"/>
  <c r="K64" i="3" a="1"/>
  <c r="K64" i="3" s="1"/>
  <c r="K79" i="3" a="1"/>
  <c r="K79" i="3" s="1"/>
  <c r="K58" i="3" a="1"/>
  <c r="K58" i="3" s="1"/>
  <c r="K16" i="3" a="1"/>
  <c r="K16" i="3" s="1"/>
  <c r="I92" i="3" a="1"/>
  <c r="I92" i="3" s="1"/>
  <c r="J75" i="3" a="1"/>
  <c r="J75" i="3" s="1"/>
  <c r="J71" i="3" a="1"/>
  <c r="J71" i="3" s="1"/>
  <c r="K62" i="3" a="1"/>
  <c r="K62" i="3" s="1"/>
  <c r="K45" i="3" a="1"/>
  <c r="K45" i="3" s="1"/>
  <c r="K41" i="3" a="1"/>
  <c r="K41" i="3" s="1"/>
  <c r="J33" i="3" a="1"/>
  <c r="J33" i="3" s="1"/>
  <c r="I25" i="3" a="1"/>
  <c r="I25" i="3" s="1"/>
  <c r="K20" i="3" a="1"/>
  <c r="K20" i="3" s="1"/>
  <c r="J16" i="3" a="1"/>
  <c r="J16" i="3" s="1"/>
  <c r="I66" i="3" a="1"/>
  <c r="I66" i="3" s="1"/>
  <c r="J65" i="3" a="1"/>
  <c r="J65" i="3" s="1"/>
  <c r="J23" i="3" a="1"/>
  <c r="J23" i="3" s="1"/>
  <c r="J6" i="3" a="1"/>
  <c r="J6" i="3" s="1"/>
  <c r="K81" i="3" a="1"/>
  <c r="K81" i="3" s="1"/>
  <c r="K60" i="3" a="1"/>
  <c r="K60" i="3" s="1"/>
  <c r="K22" i="3" a="1"/>
  <c r="K22" i="3" s="1"/>
  <c r="J22" i="3" a="1"/>
  <c r="J22" i="3" s="1"/>
  <c r="L22" i="3" s="1"/>
  <c r="I81" i="3" a="1"/>
  <c r="I81" i="3" s="1"/>
  <c r="I43" i="3" a="1"/>
  <c r="I43" i="3" s="1"/>
  <c r="J26" i="3" a="1"/>
  <c r="J26" i="3" s="1"/>
  <c r="K38" i="3" a="1"/>
  <c r="K38" i="3" s="1"/>
  <c r="K17" i="3" a="1"/>
  <c r="K17" i="3" s="1"/>
  <c r="I5" i="3" a="1"/>
  <c r="I5" i="3" s="1"/>
  <c r="I26" i="3" a="1"/>
  <c r="I26" i="3" s="1"/>
  <c r="K21" i="3" a="1"/>
  <c r="K21" i="3" s="1"/>
  <c r="J67" i="3" a="1"/>
  <c r="J67" i="3" s="1"/>
  <c r="J54" i="3" a="1"/>
  <c r="J54" i="3" s="1"/>
  <c r="K37" i="3" a="1"/>
  <c r="K37" i="3" s="1"/>
  <c r="K87" i="3" a="1"/>
  <c r="K87" i="3" s="1"/>
  <c r="K83" i="3" a="1"/>
  <c r="K83" i="3" s="1"/>
  <c r="J79" i="3" a="1"/>
  <c r="J79" i="3" s="1"/>
  <c r="J62" i="3" a="1"/>
  <c r="J62" i="3" s="1"/>
  <c r="J58" i="3" a="1"/>
  <c r="J58" i="3" s="1"/>
  <c r="I54" i="3" a="1"/>
  <c r="I54" i="3" s="1"/>
  <c r="J37" i="3" a="1"/>
  <c r="J37" i="3" s="1"/>
  <c r="I12" i="3" a="1"/>
  <c r="I12" i="3" s="1"/>
  <c r="K3" i="3" a="1"/>
  <c r="K3" i="3" s="1"/>
  <c r="I65" i="3" a="1"/>
  <c r="I65" i="3" s="1"/>
  <c r="K75" i="3" a="1"/>
  <c r="K75" i="3" s="1"/>
  <c r="I42" i="3" a="1"/>
  <c r="I42" i="3" s="1"/>
  <c r="K12" i="3" a="1"/>
  <c r="K12" i="3" s="1"/>
  <c r="J83" i="3" a="1"/>
  <c r="J83" i="3" s="1"/>
  <c r="K66" i="3" a="1"/>
  <c r="K66" i="3" s="1"/>
  <c r="J41" i="3" a="1"/>
  <c r="J41" i="3" s="1"/>
  <c r="K24" i="3" a="1"/>
  <c r="K24" i="3" s="1"/>
  <c r="J20" i="3" a="1"/>
  <c r="J20" i="3" s="1"/>
  <c r="J3" i="3" a="1"/>
  <c r="J3" i="3" s="1"/>
  <c r="K86" i="3" a="1"/>
  <c r="K86" i="3" s="1"/>
  <c r="J86" i="3" a="1"/>
  <c r="J86" i="3" s="1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L15" i="3" l="1"/>
  <c r="L28" i="3"/>
  <c r="L35" i="3"/>
  <c r="L56" i="3"/>
  <c r="L2" i="3"/>
  <c r="L55" i="3"/>
  <c r="L40" i="3"/>
  <c r="L19" i="3"/>
  <c r="L31" i="3"/>
  <c r="L34" i="3"/>
  <c r="L87" i="3"/>
  <c r="L11" i="3"/>
  <c r="L89" i="3"/>
  <c r="L27" i="3"/>
  <c r="L61" i="3"/>
  <c r="L18" i="3"/>
  <c r="L70" i="3"/>
  <c r="L67" i="3"/>
  <c r="L52" i="3"/>
  <c r="L48" i="3"/>
  <c r="L57" i="3"/>
  <c r="L49" i="3"/>
  <c r="L53" i="3"/>
  <c r="L69" i="3"/>
  <c r="L6" i="3"/>
  <c r="L30" i="3"/>
  <c r="L62" i="3"/>
  <c r="L92" i="3"/>
  <c r="L83" i="3"/>
  <c r="L29" i="3"/>
  <c r="L47" i="3"/>
  <c r="L8" i="3"/>
  <c r="L68" i="3"/>
  <c r="L50" i="3"/>
  <c r="L88" i="3"/>
  <c r="L36" i="3"/>
  <c r="L78" i="3"/>
  <c r="L39" i="3"/>
  <c r="L77" i="3"/>
  <c r="L13" i="3"/>
  <c r="L45" i="3"/>
  <c r="L43" i="3"/>
  <c r="L65" i="3"/>
  <c r="L58" i="3"/>
  <c r="L79" i="3"/>
  <c r="L38" i="3"/>
  <c r="L9" i="3"/>
  <c r="L17" i="3"/>
  <c r="L81" i="3"/>
  <c r="L91" i="3"/>
  <c r="L12" i="3"/>
  <c r="L51" i="3"/>
  <c r="L82" i="3"/>
  <c r="L33" i="3"/>
  <c r="L24" i="3"/>
  <c r="L72" i="3"/>
  <c r="L59" i="3"/>
  <c r="L42" i="3"/>
  <c r="L7" i="3"/>
  <c r="L60" i="3"/>
  <c r="L20" i="3"/>
  <c r="L41" i="3"/>
  <c r="L5" i="3"/>
  <c r="L80" i="3"/>
  <c r="L71" i="3"/>
  <c r="L21" i="3"/>
  <c r="L37" i="3"/>
  <c r="L93" i="3"/>
  <c r="L86" i="3"/>
  <c r="L73" i="3"/>
  <c r="L75" i="3"/>
  <c r="L44" i="3"/>
  <c r="L84" i="3"/>
  <c r="L26" i="3"/>
  <c r="L85" i="3"/>
  <c r="L4" i="3"/>
  <c r="L64" i="3"/>
  <c r="L16" i="3"/>
  <c r="L46" i="3"/>
  <c r="L76" i="3"/>
  <c r="L25" i="3"/>
  <c r="L3" i="3"/>
  <c r="L54" i="3"/>
  <c r="L63" i="3"/>
  <c r="L23" i="3"/>
  <c r="L66" i="3"/>
  <c r="AE94" i="3"/>
  <c r="M94" i="3"/>
  <c r="AB94" i="3"/>
  <c r="R94" i="3"/>
  <c r="N94" i="3"/>
  <c r="Z94" i="3"/>
  <c r="O94" i="3"/>
  <c r="S94" i="3"/>
  <c r="AI94" i="3"/>
  <c r="AF94" i="3"/>
  <c r="AD94" i="3"/>
  <c r="AG94" i="3"/>
  <c r="X94" i="3"/>
  <c r="P94" i="3"/>
  <c r="Q94" i="3"/>
  <c r="T94" i="3"/>
  <c r="AA94" i="3"/>
  <c r="AC94" i="3"/>
  <c r="Y94" i="3"/>
  <c r="AH94" i="3"/>
  <c r="W94" i="3"/>
  <c r="U94" i="3"/>
  <c r="V94" i="3"/>
  <c r="AF95" i="3" l="1"/>
  <c r="B12" i="12" s="1"/>
  <c r="N95" i="3"/>
  <c r="B5" i="12" s="1"/>
  <c r="V95" i="3"/>
  <c r="B21" i="12" s="1"/>
  <c r="AE95" i="3"/>
  <c r="B14" i="12" s="1"/>
  <c r="S95" i="3"/>
  <c r="B10" i="12" s="1"/>
  <c r="AB95" i="3"/>
  <c r="B15" i="12" s="1"/>
  <c r="AA95" i="3"/>
  <c r="B18" i="12" s="1"/>
  <c r="AC95" i="3"/>
  <c r="B19" i="12" s="1"/>
  <c r="AH95" i="3"/>
  <c r="B8" i="12" s="1"/>
  <c r="Q95" i="3"/>
  <c r="B9" i="12" s="1"/>
  <c r="AD95" i="3"/>
  <c r="B16" i="12" s="1"/>
  <c r="Y95" i="3"/>
  <c r="B3" i="12" s="1"/>
  <c r="O95" i="3"/>
  <c r="B7" i="12" s="1"/>
  <c r="U95" i="3"/>
  <c r="B2" i="12" s="1"/>
  <c r="X95" i="3"/>
  <c r="B13" i="12" s="1"/>
  <c r="AG95" i="3"/>
  <c r="B17" i="12" s="1"/>
  <c r="P95" i="3"/>
  <c r="B20" i="12" s="1"/>
  <c r="W95" i="3"/>
  <c r="B6" i="12" s="1"/>
  <c r="M95" i="3"/>
  <c r="B23" i="12" s="1"/>
  <c r="AI95" i="3"/>
  <c r="B4" i="12" s="1"/>
  <c r="Z95" i="3"/>
  <c r="B24" i="12" s="1"/>
  <c r="R95" i="3"/>
  <c r="B11" i="12" s="1"/>
  <c r="T95" i="3"/>
  <c r="B2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<sst xmlns="http://schemas.openxmlformats.org/spreadsheetml/2006/main" count="463" uniqueCount="268">
  <si>
    <t> Albania (2)</t>
  </si>
  <si>
    <t> Andorra (6)</t>
  </si>
  <si>
    <t> Argentina (6)</t>
  </si>
  <si>
    <t> Armenia (6)</t>
  </si>
  <si>
    <t> Australia (17)</t>
  </si>
  <si>
    <t> Austria (32)</t>
  </si>
  <si>
    <t> Azerbaijan (2)</t>
  </si>
  <si>
    <t> Belgium (26)</t>
  </si>
  <si>
    <t> Benin (1)</t>
  </si>
  <si>
    <t> Bolivia (1)</t>
  </si>
  <si>
    <t> Bosnia and Herzegovina (4)</t>
  </si>
  <si>
    <t> Brazil (5)</t>
  </si>
  <si>
    <t> Bulgaria (14)</t>
  </si>
  <si>
    <t> Canada (117)</t>
  </si>
  <si>
    <t> Chile (3)</t>
  </si>
  <si>
    <t> China (51)</t>
  </si>
  <si>
    <t> Colombia (1)</t>
  </si>
  <si>
    <t> Croatia (7)</t>
  </si>
  <si>
    <t> Cyprus (2)</t>
  </si>
  <si>
    <t> Czech Republic (91)</t>
  </si>
  <si>
    <t> Denmark (38)</t>
  </si>
  <si>
    <t> Ecuador (1)</t>
  </si>
  <si>
    <t> Eritrea (1)</t>
  </si>
  <si>
    <t> Estonia (23)</t>
  </si>
  <si>
    <t> Finland (78)</t>
  </si>
  <si>
    <t> France (99)</t>
  </si>
  <si>
    <t> Georgia (8)</t>
  </si>
  <si>
    <t> Germany (103)</t>
  </si>
  <si>
    <t> Great Britain (27)</t>
  </si>
  <si>
    <t> Greece (5)</t>
  </si>
  <si>
    <t> Guinea-Bissau (1)</t>
  </si>
  <si>
    <t> Haiti (2)</t>
  </si>
  <si>
    <t> Hong Kong (3)</t>
  </si>
  <si>
    <t> Hungary (16)</t>
  </si>
  <si>
    <t> Iceland (4)</t>
  </si>
  <si>
    <t> India (2)</t>
  </si>
  <si>
    <t> Individual Neutral Athletes (15)</t>
  </si>
  <si>
    <t> Iran (4)</t>
  </si>
  <si>
    <t> Ireland (4)</t>
  </si>
  <si>
    <t> Israel (4)</t>
  </si>
  <si>
    <t> Italy (151) (host)</t>
  </si>
  <si>
    <t> Jamaica (1)</t>
  </si>
  <si>
    <t> Japan (67)</t>
  </si>
  <si>
    <t> Kazakhstan (24)</t>
  </si>
  <si>
    <t> Kenya (1)</t>
  </si>
  <si>
    <t> Kosovo (2)</t>
  </si>
  <si>
    <t> Kyrgyzstan (2)</t>
  </si>
  <si>
    <t> Latvia (45)</t>
  </si>
  <si>
    <t> Lebanon (3)</t>
  </si>
  <si>
    <t> Liechtenstein (4)</t>
  </si>
  <si>
    <t> Lithuania (17)</t>
  </si>
  <si>
    <t> Luxembourg (2)</t>
  </si>
  <si>
    <t> Madagascar (2)</t>
  </si>
  <si>
    <t> Malaysia (1)</t>
  </si>
  <si>
    <t> Malta (1)</t>
  </si>
  <si>
    <t> Mexico (5)</t>
  </si>
  <si>
    <t> Moldova (2)</t>
  </si>
  <si>
    <t> Monaco (1)</t>
  </si>
  <si>
    <t> Mongolia (3)</t>
  </si>
  <si>
    <t> Montenegro (2)</t>
  </si>
  <si>
    <t> Morocco (2)</t>
  </si>
  <si>
    <t> Netherlands (32)</t>
  </si>
  <si>
    <t> New Zealand (2)</t>
  </si>
  <si>
    <t> Nigeria (1)</t>
  </si>
  <si>
    <t> North Macedonia (4)</t>
  </si>
  <si>
    <t> Norway (51)</t>
  </si>
  <si>
    <t> Pakistan (1)</t>
  </si>
  <si>
    <t> Philippines (2)</t>
  </si>
  <si>
    <t> Poland (36)</t>
  </si>
  <si>
    <t> Portugal (4)</t>
  </si>
  <si>
    <t> Romania (10)</t>
  </si>
  <si>
    <t> San Marino (1)</t>
  </si>
  <si>
    <t> Saudi Arabia (2)</t>
  </si>
  <si>
    <t> Serbia (4)</t>
  </si>
  <si>
    <t> Singapore (1)</t>
  </si>
  <si>
    <t> Slovakia (39)</t>
  </si>
  <si>
    <t> Slovenia (18)</t>
  </si>
  <si>
    <t> South Africa (3)</t>
  </si>
  <si>
    <t> South Korea (37)</t>
  </si>
  <si>
    <t> Spain (16)</t>
  </si>
  <si>
    <t> Sweden (91)</t>
  </si>
  <si>
    <t> Switzerland (95)</t>
  </si>
  <si>
    <t> Chinese Taipei (7)</t>
  </si>
  <si>
    <t> Thailand (3)</t>
  </si>
  <si>
    <t> Trinidad and Tobago (2)</t>
  </si>
  <si>
    <t> Turkey (6)</t>
  </si>
  <si>
    <t> Ukraine (20)</t>
  </si>
  <si>
    <t> United Arab Emirates (2)</t>
  </si>
  <si>
    <t> United States (140)</t>
  </si>
  <si>
    <t> Uruguay (1)</t>
  </si>
  <si>
    <t> Uzbekistan (4)</t>
  </si>
  <si>
    <t> Venezuela (1)</t>
  </si>
  <si>
    <t>Number of Events</t>
  </si>
  <si>
    <t>2022 Gold</t>
  </si>
  <si>
    <t>2022 Silver</t>
  </si>
  <si>
    <t>2022 Bronze</t>
  </si>
  <si>
    <t>Cost</t>
  </si>
  <si>
    <t>2026 Gold</t>
  </si>
  <si>
    <t>2026 Silver</t>
  </si>
  <si>
    <t>2026 Bronze</t>
  </si>
  <si>
    <t>Total Cost</t>
  </si>
  <si>
    <t>Total Points</t>
  </si>
  <si>
    <t>Kevin Mansell 1</t>
  </si>
  <si>
    <t>Kevin Mansell 2</t>
  </si>
  <si>
    <t>Participants</t>
  </si>
  <si>
    <t>Mansell 1</t>
  </si>
  <si>
    <t>Mansell 2</t>
  </si>
  <si>
    <t>paid</t>
  </si>
  <si>
    <t>Cory</t>
  </si>
  <si>
    <t>Cory Brace</t>
  </si>
  <si>
    <t>amanda</t>
  </si>
  <si>
    <t>Amanda</t>
  </si>
  <si>
    <t>Josh</t>
  </si>
  <si>
    <t>josh</t>
  </si>
  <si>
    <t>Rhett</t>
  </si>
  <si>
    <t>Bill</t>
  </si>
  <si>
    <t>Fader</t>
  </si>
  <si>
    <t>Kurt Heidel</t>
  </si>
  <si>
    <t>kurt heidl</t>
  </si>
  <si>
    <t xml:space="preserve">Ryley </t>
  </si>
  <si>
    <t>Ryley</t>
  </si>
  <si>
    <t>Colby</t>
  </si>
  <si>
    <t>Richard</t>
  </si>
  <si>
    <t>Neigem</t>
  </si>
  <si>
    <t>Wagner</t>
  </si>
  <si>
    <t>wagner</t>
  </si>
  <si>
    <t>Jonah</t>
  </si>
  <si>
    <t>Huebner</t>
  </si>
  <si>
    <t>huebner</t>
  </si>
  <si>
    <t xml:space="preserve">Pam </t>
  </si>
  <si>
    <t>Pam1</t>
  </si>
  <si>
    <t>Pam2</t>
  </si>
  <si>
    <t>evan</t>
  </si>
  <si>
    <t>Tiffany</t>
  </si>
  <si>
    <t>Grace</t>
  </si>
  <si>
    <t>ian</t>
  </si>
  <si>
    <t>Ian</t>
  </si>
  <si>
    <t>Sweden</t>
  </si>
  <si>
    <t>Switzerland</t>
  </si>
  <si>
    <t>Italy</t>
  </si>
  <si>
    <t>Norway</t>
  </si>
  <si>
    <t>Albania</t>
  </si>
  <si>
    <t>Andorra</t>
  </si>
  <si>
    <t>Argentina</t>
  </si>
  <si>
    <t>Armenia</t>
  </si>
  <si>
    <t>Australia</t>
  </si>
  <si>
    <t>Austria</t>
  </si>
  <si>
    <t>Azerbaijan</t>
  </si>
  <si>
    <t>Belgium</t>
  </si>
  <si>
    <t>Benin</t>
  </si>
  <si>
    <t>Bolivia</t>
  </si>
  <si>
    <t>Bosnia and Herzegovina</t>
  </si>
  <si>
    <t>Brazil</t>
  </si>
  <si>
    <t>Bulgaria</t>
  </si>
  <si>
    <t>Canada</t>
  </si>
  <si>
    <t>Chile</t>
  </si>
  <si>
    <t>China</t>
  </si>
  <si>
    <t>Chinese Taipei</t>
  </si>
  <si>
    <t>Colombia</t>
  </si>
  <si>
    <t>Croatia</t>
  </si>
  <si>
    <t>Cyprus</t>
  </si>
  <si>
    <t>Czech Republic</t>
  </si>
  <si>
    <t>Denmark</t>
  </si>
  <si>
    <t>Ecuador</t>
  </si>
  <si>
    <t>Eritrea</t>
  </si>
  <si>
    <t>Estonia</t>
  </si>
  <si>
    <t>Finland</t>
  </si>
  <si>
    <t>France</t>
  </si>
  <si>
    <t>Georgia</t>
  </si>
  <si>
    <t>Germany</t>
  </si>
  <si>
    <t>Great Britain</t>
  </si>
  <si>
    <t>Greece</t>
  </si>
  <si>
    <t>Guinea-Bissau</t>
  </si>
  <si>
    <t>Haiti</t>
  </si>
  <si>
    <t>Hong Kong</t>
  </si>
  <si>
    <t>Hungary</t>
  </si>
  <si>
    <t>Iceland</t>
  </si>
  <si>
    <t>India</t>
  </si>
  <si>
    <t>Iran</t>
  </si>
  <si>
    <t>Ireland</t>
  </si>
  <si>
    <t>Israel</t>
  </si>
  <si>
    <t>Jamaica</t>
  </si>
  <si>
    <t>Japan</t>
  </si>
  <si>
    <t>Kazakhstan</t>
  </si>
  <si>
    <t>Kenya</t>
  </si>
  <si>
    <t>Kosovo</t>
  </si>
  <si>
    <t>Kyrgyzstan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</si>
  <si>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</si>
  <si>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</si>
  <si>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</si>
  <si>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</si>
  <si>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</si>
  <si>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</si>
  <si>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</si>
  <si>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Malta</t>
  </si>
  <si>
    <t>Mexico</t>
  </si>
  <si>
    <t>Moldova</t>
  </si>
  <si>
    <t>Monaco</t>
  </si>
  <si>
    <t>Mongolia</t>
  </si>
  <si>
    <t>Montenegro</t>
  </si>
  <si>
    <t>Morocco</t>
  </si>
  <si>
    <t>Netherlands</t>
  </si>
  <si>
    <t>New Zealand</t>
  </si>
  <si>
    <t>Nigeria</t>
  </si>
  <si>
    <t>North Macedonia</t>
  </si>
  <si>
    <t>Pakistan</t>
  </si>
  <si>
    <t>Philippines</t>
  </si>
  <si>
    <t>Poland</t>
  </si>
  <si>
    <t>Portugal</t>
  </si>
  <si>
    <t>Puerto Rico</t>
  </si>
  <si>
    <t>Romania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</si>
  <si>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</si>
  <si>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</si>
  <si>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</si>
  <si>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</si>
  <si>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</si>
  <si>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</si>
  <si>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</si>
  <si>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South Korea</t>
  </si>
  <si>
    <t>Spain</t>
  </si>
  <si>
    <t>Thailand</t>
  </si>
  <si>
    <t>Trinidad and Tobago</t>
  </si>
  <si>
    <t>Turkey</t>
  </si>
  <si>
    <t>Ukraine</t>
  </si>
  <si>
    <t>United Arab Emirates</t>
  </si>
  <si>
    <t>United States</t>
  </si>
  <si>
    <t>Uruguay</t>
  </si>
  <si>
    <t>Uzbekistan</t>
  </si>
  <si>
    <t>Venezuela</t>
  </si>
  <si>
    <t>Placement</t>
  </si>
  <si>
    <t>Country</t>
  </si>
  <si>
    <t>Gold Medals</t>
  </si>
  <si>
    <t>Silver Medals</t>
  </si>
  <si>
    <t>Bronze Medals</t>
  </si>
  <si>
    <t>Total Medals</t>
  </si>
  <si>
    <t>Medals/M</t>
  </si>
  <si>
    <t>Medals GDP</t>
  </si>
  <si>
    <t>countries</t>
  </si>
  <si>
    <t>Individual Neutral Athletes</t>
  </si>
  <si>
    <t>match</t>
  </si>
  <si>
    <t>Evan1</t>
  </si>
  <si>
    <t>Evan2</t>
  </si>
  <si>
    <t>Teams</t>
  </si>
  <si>
    <t>Points</t>
  </si>
  <si>
    <t>Evan 1 (Sweden, Swiss, Latvia, Poland)</t>
  </si>
  <si>
    <t>Colby (Swiss, Jamaica, Italy, Netherlands)</t>
  </si>
  <si>
    <t>Jonah (Germany, Sweden)</t>
  </si>
  <si>
    <t>Pam 1 (Germany, Sweden)</t>
  </si>
  <si>
    <t>Pam 2 (Canada, Czech, Ukraine, US)</t>
  </si>
  <si>
    <t>Huebner (Austria, China, Czech, South Korea, Spain)</t>
  </si>
  <si>
    <t>Wagner (Estonia, Poland, Germany, China)</t>
  </si>
  <si>
    <t>Josh (Belgium, Estonia, AIN, Norway, Poland, Slovenia)</t>
  </si>
  <si>
    <t>Ryley (Canada, USA, Slovakia, Poland, Latvia)</t>
  </si>
  <si>
    <t xml:space="preserve">Fader (Canada, Finland, Netherlands, Latvia, Estonia, Slovakia) </t>
  </si>
  <si>
    <t>Amanda (Canada, Czech, Netherlands, Slovenia, Ukraine)</t>
  </si>
  <si>
    <t>Mansell 1 (Germany, Netherlands)</t>
  </si>
  <si>
    <t>Mansell 2 (Netherlands, France, Italy, AIN)</t>
  </si>
  <si>
    <t>Kurt (Austria, Czech, Italy, New Zealand, South Korea)</t>
  </si>
  <si>
    <t>Grace (USA, Sweden, Great Britain, Czech)</t>
  </si>
  <si>
    <t>Tiffany (Canada, Sweden, Finland, Slovakia, Poland)</t>
  </si>
  <si>
    <t>Ian (Japan, Italy, Netherlands, Argentina)</t>
  </si>
  <si>
    <t>Cory (Czech, Finland, Norway, Poland, Slovakia)</t>
  </si>
  <si>
    <t>Bill (Lithuania, Norway, South Korea, Ukraine)</t>
  </si>
  <si>
    <t>Rhett (Norway, Belgium, Estonia, South Korea)</t>
  </si>
  <si>
    <t>Evan 2 (Norway, South Korea, Hungary)</t>
  </si>
  <si>
    <t>Richard (Australia, Austria, Belgium, France, Finland, Romania)</t>
  </si>
  <si>
    <t>–</t>
  </si>
  <si>
    <t>Neigum (Czech, Estonia, Finland, Italy, Latvia, United States)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</si>
</sst>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CD7F32"/>
      <name val="Arial"/>
      <family val="2"/>
    </font>
    <font>
      <u/>
      <sz val="11"/>
      <color rgb="FFCD7F32"/>
      <name val="Arial"/>
      <family val="2"/>
    </font>
    <font>
      <sz val="11"/>
      <color rgb="FFFFD700"/>
      <name val="Arial"/>
      <family val="2"/>
    </font>
    <font>
      <u/>
      <sz val="11"/>
      <color rgb="FFFFD700"/>
      <name val="Arial"/>
      <family val="2"/>
    </font>
    <font>
      <sz val="11"/>
      <color rgb="FFC0C0C0"/>
      <name val="Arial"/>
      <family val="2"/>
    </font>
    <font>
      <u/>
      <sz val="11"/>
      <color rgb="FFC0C0C0"/>
      <name val="Arial"/>
      <family val="2"/>
    </font>
    <font>
      <sz val="11"/>
      <color rgb="FF00B050"/>
      <name val="Arial"/>
      <family val="2"/>
    </font>
    <font>
      <u/>
      <sz val="11"/>
      <color rgb="FF00B050"/>
      <name val="Arial"/>
      <family val="2"/>
    </font>
    <font>
      <sz val="11"/>
      <color rgb="FF000000"/>
      <name val="Arial"/>
      <family val="2"/>
    </font>
    <font>
      <sz val="11"/>
      <color rgb="FF000000"/>
      <name val="Courier New"/>
      <family val="3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CBB89"/>
        <bgColor indexed="64"/>
      </patternFill>
    </fill>
    <fill>
      <patternFill patternType="solid">
        <fgColor rgb="FF75C4C4"/>
        <bgColor indexed="64"/>
      </patternFill>
    </fill>
    <fill>
      <patternFill patternType="solid">
        <fgColor rgb="FFEBCB3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4F4F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1" applyAlignment="1">
      <alignment horizontal="left" vertical="center" wrapText="1" indent="1"/>
    </xf>
    <xf numFmtId="0" fontId="2" fillId="2" borderId="0" xfId="0" applyFont="1" applyFill="1"/>
    <xf numFmtId="0" fontId="3" fillId="2" borderId="0" xfId="1" applyFont="1" applyFill="1" applyAlignment="1">
      <alignment horizontal="left" vertical="center" wrapText="1" indent="1"/>
    </xf>
    <xf numFmtId="0" fontId="4" fillId="2" borderId="0" xfId="0" applyFont="1" applyFill="1"/>
    <xf numFmtId="0" fontId="5" fillId="2" borderId="0" xfId="1" applyFont="1" applyFill="1" applyAlignment="1">
      <alignment horizontal="left" vertical="center" wrapText="1" indent="1"/>
    </xf>
    <xf numFmtId="0" fontId="6" fillId="2" borderId="0" xfId="0" applyFont="1" applyFill="1"/>
    <xf numFmtId="0" fontId="7" fillId="2" borderId="0" xfId="1" applyFont="1" applyFill="1" applyAlignment="1">
      <alignment horizontal="left" vertical="center" wrapText="1" indent="1"/>
    </xf>
    <xf numFmtId="0" fontId="8" fillId="2" borderId="0" xfId="0" applyFont="1" applyFill="1"/>
    <xf numFmtId="0" fontId="9" fillId="2" borderId="0" xfId="1" applyFont="1" applyFill="1" applyAlignment="1">
      <alignment horizontal="left" vertical="center" wrapText="1" indent="1"/>
    </xf>
    <xf numFmtId="0" fontId="0" fillId="3" borderId="0" xfId="0" applyFill="1"/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right" vertical="center" wrapText="1"/>
    </xf>
    <xf numFmtId="0" fontId="0" fillId="9" borderId="0" xfId="0" applyFill="1"/>
    <xf numFmtId="0" fontId="10" fillId="4" borderId="0" xfId="0" applyFont="1" applyFill="1" applyAlignment="1">
      <alignment horizontal="left" vertical="center" wrapText="1"/>
    </xf>
    <xf numFmtId="0" fontId="0" fillId="4" borderId="0" xfId="0" applyFill="1"/>
    <xf numFmtId="0" fontId="13" fillId="4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C0C0"/>
      <color rgb="FFFFD700"/>
      <color rgb="FFCD7F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224790</xdr:colOff>
      <xdr:row>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FCA65-1934-4F48-B15F-8E85149C1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224790</xdr:colOff>
      <xdr:row>2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D7AAA-90C7-4EA5-8B13-6A46F40E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224790</xdr:colOff>
      <xdr:row>3</xdr:row>
      <xdr:rowOff>148590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114714-4D06-4B5C-A54B-C8F0C36FF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224790</xdr:colOff>
      <xdr:row>4</xdr:row>
      <xdr:rowOff>110490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8E30CC-B63E-4F25-BAE3-8F8A3C08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224790</xdr:colOff>
      <xdr:row>5</xdr:row>
      <xdr:rowOff>110490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500AAF-1857-40DB-8257-D33F687B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8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224790</xdr:colOff>
      <xdr:row>6</xdr:row>
      <xdr:rowOff>148590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774CE83-4EAC-4E3A-B269-A8F13273D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224790</xdr:colOff>
      <xdr:row>7</xdr:row>
      <xdr:rowOff>110490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AE1EB35-6840-4A09-B806-518BF5D0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68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224790</xdr:colOff>
      <xdr:row>8</xdr:row>
      <xdr:rowOff>148590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41A2EA-6701-45CD-A34A-ED79AF211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224790</xdr:colOff>
      <xdr:row>9</xdr:row>
      <xdr:rowOff>148590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8CF503-2B8C-4201-8EA9-2989DA36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224790</xdr:colOff>
      <xdr:row>10</xdr:row>
      <xdr:rowOff>148590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F4E829F-3247-4526-917A-553A8499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224790</xdr:colOff>
      <xdr:row>11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6ACB0E-1E49-49A2-9058-CC581232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224790</xdr:colOff>
      <xdr:row>12</xdr:row>
      <xdr:rowOff>148590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F747D78-3900-4732-A2BF-F13604DCC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2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224790</xdr:colOff>
      <xdr:row>13</xdr:row>
      <xdr:rowOff>118110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BE43974-5691-4046-8385-764731942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36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224790</xdr:colOff>
      <xdr:row>14</xdr:row>
      <xdr:rowOff>110490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868FB51-EE55-43BB-AE3C-9677AD54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46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224790</xdr:colOff>
      <xdr:row>15</xdr:row>
      <xdr:rowOff>148590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71DB359-5D6F-49C5-A373-C656B591A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5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224790</xdr:colOff>
      <xdr:row>16</xdr:row>
      <xdr:rowOff>148590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72B9302-29E7-45F4-9D18-DAAC18ACE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7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224790</xdr:colOff>
      <xdr:row>17</xdr:row>
      <xdr:rowOff>148590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87E8C4D-15C8-4443-93C0-E3B1EA0EB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7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224790</xdr:colOff>
      <xdr:row>18</xdr:row>
      <xdr:rowOff>148590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456B627-694D-4510-9380-4AD1DFA43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224790</xdr:colOff>
      <xdr:row>19</xdr:row>
      <xdr:rowOff>148590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46BC595-C8DC-4601-8D29-FC7E13A73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224790</xdr:colOff>
      <xdr:row>20</xdr:row>
      <xdr:rowOff>148590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5670661-3F35-4D28-ABCB-56C78CAA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0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224790</xdr:colOff>
      <xdr:row>21</xdr:row>
      <xdr:rowOff>156210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31581D6-867C-4368-836B-859D570E3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224790</xdr:colOff>
      <xdr:row>22</xdr:row>
      <xdr:rowOff>148590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3D0660F-AB02-4AAF-98B0-6DE2E479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2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224790</xdr:colOff>
      <xdr:row>23</xdr:row>
      <xdr:rowOff>110490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F162DC1-518A-42BC-9932-35035333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34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224790</xdr:colOff>
      <xdr:row>24</xdr:row>
      <xdr:rowOff>148590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9C49D75-0C6D-4530-9BA4-7BE005AB7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437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224790</xdr:colOff>
      <xdr:row>25</xdr:row>
      <xdr:rowOff>118110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10E917A-4133-4C20-979D-80744985C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53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224790</xdr:colOff>
      <xdr:row>26</xdr:row>
      <xdr:rowOff>148590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592FEFC-3DF1-4779-A7C4-A89E235F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6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224790</xdr:colOff>
      <xdr:row>27</xdr:row>
      <xdr:rowOff>148590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D336AB9-A78E-497D-AAAF-6D2D6317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7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224790</xdr:colOff>
      <xdr:row>28</xdr:row>
      <xdr:rowOff>118110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2B0D220-4EB7-4778-B40B-088C87A01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82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224790</xdr:colOff>
      <xdr:row>29</xdr:row>
      <xdr:rowOff>110490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50ED8BE-39AE-433D-86AF-E25854920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9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224790</xdr:colOff>
      <xdr:row>30</xdr:row>
      <xdr:rowOff>148590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4699984-2FAF-4EEB-B6C9-3A1360ABC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0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224790</xdr:colOff>
      <xdr:row>31</xdr:row>
      <xdr:rowOff>110490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F4E0B593-E32E-4795-AEBD-246095F12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12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224790</xdr:colOff>
      <xdr:row>32</xdr:row>
      <xdr:rowOff>118110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3C793A4-6F3F-476D-8037-ED490833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21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224790</xdr:colOff>
      <xdr:row>33</xdr:row>
      <xdr:rowOff>148590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63EBD64-6D33-4AA8-B8FD-09E846A3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53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224790</xdr:colOff>
      <xdr:row>34</xdr:row>
      <xdr:rowOff>110490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BE90954-B2A2-4294-B2D8-D33B8C06E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341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224790</xdr:colOff>
      <xdr:row>35</xdr:row>
      <xdr:rowOff>152400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658EC2B-9876-44C8-B646-97F347759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224790</xdr:colOff>
      <xdr:row>36</xdr:row>
      <xdr:rowOff>148590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0967B42-9531-4EA9-B8D1-BF9C06612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9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224790</xdr:colOff>
      <xdr:row>37</xdr:row>
      <xdr:rowOff>148590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3E539E6-91B6-4A1E-AF8C-9EB574A8C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224790</xdr:colOff>
      <xdr:row>38</xdr:row>
      <xdr:rowOff>118110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EF50365-D6E4-433C-99D1-31ACF83C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224790</xdr:colOff>
      <xdr:row>39</xdr:row>
      <xdr:rowOff>148590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7665EEF-EE48-4451-8BE3-B05006D8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19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224790</xdr:colOff>
      <xdr:row>40</xdr:row>
      <xdr:rowOff>152400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852C1D9-63B4-4946-84DF-1E9E9AA45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09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224790</xdr:colOff>
      <xdr:row>41</xdr:row>
      <xdr:rowOff>148590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D011F35C-A421-4022-87B5-6F43FF16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81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224790</xdr:colOff>
      <xdr:row>42</xdr:row>
      <xdr:rowOff>110490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0AA74D2-EC30-4D5E-B341-5B72EA0BC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224790</xdr:colOff>
      <xdr:row>43</xdr:row>
      <xdr:rowOff>148590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42FDC10-69DF-4800-B0A6-D2433A76A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43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224790</xdr:colOff>
      <xdr:row>44</xdr:row>
      <xdr:rowOff>148590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9EA23A8D-B9FD-4466-9AFE-FE4E7218E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24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224790</xdr:colOff>
      <xdr:row>45</xdr:row>
      <xdr:rowOff>148590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A493074-C77C-4B64-A07F-98FF58217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05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224790</xdr:colOff>
      <xdr:row>46</xdr:row>
      <xdr:rowOff>152400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E9A94AA-52D0-492C-8C64-7E1B7547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868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224790</xdr:colOff>
      <xdr:row>47</xdr:row>
      <xdr:rowOff>118110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4B11112-5777-41FB-BE94-95989F0E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677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224790</xdr:colOff>
      <xdr:row>48</xdr:row>
      <xdr:rowOff>148590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C7AB769-44B8-4AB3-B13A-EB0E0495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48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224790</xdr:colOff>
      <xdr:row>49</xdr:row>
      <xdr:rowOff>148590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1A2B8012-155C-4503-952D-AC341260B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9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224790</xdr:colOff>
      <xdr:row>50</xdr:row>
      <xdr:rowOff>118110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76EA6E0E-AAAF-4252-9EB0-28ECA2556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107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224790</xdr:colOff>
      <xdr:row>51</xdr:row>
      <xdr:rowOff>118110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A894953-8FCA-4887-90BB-9930F5C6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916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224790</xdr:colOff>
      <xdr:row>52</xdr:row>
      <xdr:rowOff>118110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E2B6F77-5E63-40CB-A7B5-CFEA969F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224790</xdr:colOff>
      <xdr:row>53</xdr:row>
      <xdr:rowOff>148590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300B55A-C548-4799-A112-E0ACAEBB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53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224790</xdr:colOff>
      <xdr:row>54</xdr:row>
      <xdr:rowOff>110490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D3DA7BCE-BDC0-4599-8EAD-31C634E0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346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224790</xdr:colOff>
      <xdr:row>55</xdr:row>
      <xdr:rowOff>148590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4CDD653-0715-42CF-95CA-08F8F2AEE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15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224790</xdr:colOff>
      <xdr:row>56</xdr:row>
      <xdr:rowOff>118110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AB2FCE39-70F5-4663-B7A1-B729C13F1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965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224790</xdr:colOff>
      <xdr:row>57</xdr:row>
      <xdr:rowOff>148590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30582E43-47D0-457B-AF61-B5D1670AF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77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224790</xdr:colOff>
      <xdr:row>59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1C00F70-ED11-460D-96BF-CD6F83BDF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2095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224790</xdr:colOff>
      <xdr:row>59</xdr:row>
      <xdr:rowOff>110490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23D93A24-BC4E-492F-933A-EFCEBA021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394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224790</xdr:colOff>
      <xdr:row>60</xdr:row>
      <xdr:rowOff>110490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1998490E-AABC-4E6A-ADC9-36A233BD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204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224790</xdr:colOff>
      <xdr:row>61</xdr:row>
      <xdr:rowOff>148590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682DF3C0-A389-4495-8B2B-1B333901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01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224790</xdr:colOff>
      <xdr:row>62</xdr:row>
      <xdr:rowOff>148590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41C56EFA-61E7-4DA0-AEAC-55011423A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82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224790</xdr:colOff>
      <xdr:row>63</xdr:row>
      <xdr:rowOff>110490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825DCBE2-28F7-4E2B-A8E9-B3D6E060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633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224790</xdr:colOff>
      <xdr:row>64</xdr:row>
      <xdr:rowOff>110490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B0B91FBA-CB1A-4596-9C66-B69618BFB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443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224790</xdr:colOff>
      <xdr:row>65</xdr:row>
      <xdr:rowOff>148590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EA900D09-5DDB-49C9-AAF0-5F288CBC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25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224790</xdr:colOff>
      <xdr:row>66</xdr:row>
      <xdr:rowOff>152400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DB58F87-FC76-4E94-A3B2-6DDD1CF58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06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224790</xdr:colOff>
      <xdr:row>67</xdr:row>
      <xdr:rowOff>148590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27D0570D-161E-4A42-A212-FBA23E970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87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224790</xdr:colOff>
      <xdr:row>68</xdr:row>
      <xdr:rowOff>110490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FBE73976-69D9-48B0-8821-94B6E8FA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68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224790</xdr:colOff>
      <xdr:row>69</xdr:row>
      <xdr:rowOff>148590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F61D572-3A18-45C8-9818-FA63E5478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224790</xdr:colOff>
      <xdr:row>70</xdr:row>
      <xdr:rowOff>148590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80C0D1DD-1A73-4642-B97B-9F497AF01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3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224790</xdr:colOff>
      <xdr:row>71</xdr:row>
      <xdr:rowOff>148590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F3BD26A7-D1BB-45AD-A340-978C0257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11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224790</xdr:colOff>
      <xdr:row>72</xdr:row>
      <xdr:rowOff>156210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44C3545-A999-4A5A-938D-039335B1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92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224790</xdr:colOff>
      <xdr:row>73</xdr:row>
      <xdr:rowOff>148590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BC6EB81-E199-4AFF-9F06-C95EE957A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73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224790</xdr:colOff>
      <xdr:row>74</xdr:row>
      <xdr:rowOff>148590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908CEFE-B64D-44DD-BF50-6F23D627A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54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224790</xdr:colOff>
      <xdr:row>75</xdr:row>
      <xdr:rowOff>148590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FAAC1DB5-EBEA-4A5E-995B-0EC1CB44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3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224790</xdr:colOff>
      <xdr:row>76</xdr:row>
      <xdr:rowOff>148590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9128A107-3DC9-412A-8E03-D551A45C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16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224790</xdr:colOff>
      <xdr:row>77</xdr:row>
      <xdr:rowOff>148590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ECD5C98-9C91-4854-B548-D9FE9C36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97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224790</xdr:colOff>
      <xdr:row>78</xdr:row>
      <xdr:rowOff>148590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05E549E-046F-4379-8F0C-EDECBC3BF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224790</xdr:colOff>
      <xdr:row>79</xdr:row>
      <xdr:rowOff>148590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2077EEC-F937-4FB3-BFA0-4DB447348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58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224790</xdr:colOff>
      <xdr:row>80</xdr:row>
      <xdr:rowOff>148590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E31AF6A-6426-4296-B8EC-10EC9C860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3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224790</xdr:colOff>
      <xdr:row>81</xdr:row>
      <xdr:rowOff>148590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170BBF92-B6D8-4515-AE3C-F18C4C4E4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209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190500</xdr:colOff>
      <xdr:row>85</xdr:row>
      <xdr:rowOff>3810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2F5E7F45-AFA8-4FB3-BFB0-C8F621E82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01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224790</xdr:colOff>
      <xdr:row>83</xdr:row>
      <xdr:rowOff>148590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4C4E7E5F-D32B-4A88-8C8B-8CD26C27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8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224790</xdr:colOff>
      <xdr:row>84</xdr:row>
      <xdr:rowOff>148590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7F300B0-8725-44CA-B781-3B6A60371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63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224790</xdr:colOff>
      <xdr:row>85</xdr:row>
      <xdr:rowOff>118110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374065F-97E9-4E8A-83DC-4ED8A31E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448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224790</xdr:colOff>
      <xdr:row>86</xdr:row>
      <xdr:rowOff>148590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4AF683D-AD9E-41D3-B7A3-869C9B58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2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224790</xdr:colOff>
      <xdr:row>87</xdr:row>
      <xdr:rowOff>148590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5C27445B-ABF9-4930-8DFB-671F2FD0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224790</xdr:colOff>
      <xdr:row>88</xdr:row>
      <xdr:rowOff>110490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A2003AF-A3D9-43CD-894D-C5C005B2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877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224790</xdr:colOff>
      <xdr:row>89</xdr:row>
      <xdr:rowOff>114300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F29C5B02-4064-4161-99F7-D2F032F59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687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224790</xdr:colOff>
      <xdr:row>90</xdr:row>
      <xdr:rowOff>148590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EC94F63D-174E-4797-AD36-C9062D701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9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224790</xdr:colOff>
      <xdr:row>91</xdr:row>
      <xdr:rowOff>148590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FCD15A2-4B76-4EF4-B582-3FAD4B7F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30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224790</xdr:colOff>
      <xdr:row>92</xdr:row>
      <xdr:rowOff>148590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CE5FB224-9B7C-44C8-B89C-5FEA14681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11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1</xdr:row>
      <xdr:rowOff>0</xdr:rowOff>
    </xdr:from>
    <xdr:ext cx="209550" cy="152400"/>
    <xdr:pic>
      <xdr:nvPicPr>
        <xdr:cNvPr id="94" name="Picture 93">
          <a:extLst>
            <a:ext uri="{FF2B5EF4-FFF2-40B4-BE49-F238E27FC236}">
              <a16:creationId xmlns:a16="http://schemas.microsoft.com/office/drawing/2014/main" id="{472403D6-CA95-4590-9F77-90825B08B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8097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</xdr:row>
      <xdr:rowOff>0</xdr:rowOff>
    </xdr:from>
    <xdr:ext cx="209550" cy="142875"/>
    <xdr:pic>
      <xdr:nvPicPr>
        <xdr:cNvPr id="95" name="Picture 94">
          <a:extLst>
            <a:ext uri="{FF2B5EF4-FFF2-40B4-BE49-F238E27FC236}">
              <a16:creationId xmlns:a16="http://schemas.microsoft.com/office/drawing/2014/main" id="{417B3646-83D6-470F-897D-830B0A28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61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</xdr:row>
      <xdr:rowOff>0</xdr:rowOff>
    </xdr:from>
    <xdr:ext cx="209550" cy="133350"/>
    <xdr:pic>
      <xdr:nvPicPr>
        <xdr:cNvPr id="96" name="Picture 95">
          <a:extLst>
            <a:ext uri="{FF2B5EF4-FFF2-40B4-BE49-F238E27FC236}">
              <a16:creationId xmlns:a16="http://schemas.microsoft.com/office/drawing/2014/main" id="{A9027126-B38F-4F7B-9EAD-687484D49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429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</xdr:row>
      <xdr:rowOff>0</xdr:rowOff>
    </xdr:from>
    <xdr:ext cx="209550" cy="104775"/>
    <xdr:pic>
      <xdr:nvPicPr>
        <xdr:cNvPr id="97" name="Picture 96">
          <a:extLst>
            <a:ext uri="{FF2B5EF4-FFF2-40B4-BE49-F238E27FC236}">
              <a16:creationId xmlns:a16="http://schemas.microsoft.com/office/drawing/2014/main" id="{8295C615-48FE-4161-A7AF-D3CD11CE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239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</xdr:row>
      <xdr:rowOff>0</xdr:rowOff>
    </xdr:from>
    <xdr:ext cx="209550" cy="104775"/>
    <xdr:pic>
      <xdr:nvPicPr>
        <xdr:cNvPr id="98" name="Picture 97">
          <a:extLst>
            <a:ext uri="{FF2B5EF4-FFF2-40B4-BE49-F238E27FC236}">
              <a16:creationId xmlns:a16="http://schemas.microsoft.com/office/drawing/2014/main" id="{043A86E5-B213-4906-84E5-BC9FF79B5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048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</xdr:row>
      <xdr:rowOff>0</xdr:rowOff>
    </xdr:from>
    <xdr:ext cx="209550" cy="142875"/>
    <xdr:pic>
      <xdr:nvPicPr>
        <xdr:cNvPr id="99" name="Picture 98">
          <a:extLst>
            <a:ext uri="{FF2B5EF4-FFF2-40B4-BE49-F238E27FC236}">
              <a16:creationId xmlns:a16="http://schemas.microsoft.com/office/drawing/2014/main" id="{2618FFBB-EF89-4C41-BABC-1E7A3C05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085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</xdr:row>
      <xdr:rowOff>0</xdr:rowOff>
    </xdr:from>
    <xdr:ext cx="209550" cy="104775"/>
    <xdr:pic>
      <xdr:nvPicPr>
        <xdr:cNvPr id="100" name="Picture 99">
          <a:extLst>
            <a:ext uri="{FF2B5EF4-FFF2-40B4-BE49-F238E27FC236}">
              <a16:creationId xmlns:a16="http://schemas.microsoft.com/office/drawing/2014/main" id="{DF5421C0-0EF0-46C6-9375-643FEA1F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2668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</xdr:row>
      <xdr:rowOff>0</xdr:rowOff>
    </xdr:from>
    <xdr:ext cx="209550" cy="142875"/>
    <xdr:pic>
      <xdr:nvPicPr>
        <xdr:cNvPr id="101" name="Picture 100">
          <a:extLst>
            <a:ext uri="{FF2B5EF4-FFF2-40B4-BE49-F238E27FC236}">
              <a16:creationId xmlns:a16="http://schemas.microsoft.com/office/drawing/2014/main" id="{2685D600-42F3-4956-ADAF-A81BD1589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47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</xdr:row>
      <xdr:rowOff>0</xdr:rowOff>
    </xdr:from>
    <xdr:ext cx="209550" cy="142875"/>
    <xdr:pic>
      <xdr:nvPicPr>
        <xdr:cNvPr id="102" name="Picture 101">
          <a:extLst>
            <a:ext uri="{FF2B5EF4-FFF2-40B4-BE49-F238E27FC236}">
              <a16:creationId xmlns:a16="http://schemas.microsoft.com/office/drawing/2014/main" id="{4D836390-3407-4DEC-A58B-2700F66C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628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10</xdr:row>
      <xdr:rowOff>0</xdr:rowOff>
    </xdr:from>
    <xdr:ext cx="209550" cy="142875"/>
    <xdr:pic>
      <xdr:nvPicPr>
        <xdr:cNvPr id="103" name="Picture 102">
          <a:extLst>
            <a:ext uri="{FF2B5EF4-FFF2-40B4-BE49-F238E27FC236}">
              <a16:creationId xmlns:a16="http://schemas.microsoft.com/office/drawing/2014/main" id="{8BCB5C17-2443-4140-A4A3-72C20C5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809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11</xdr:row>
      <xdr:rowOff>0</xdr:rowOff>
    </xdr:from>
    <xdr:ext cx="209550" cy="104775"/>
    <xdr:pic>
      <xdr:nvPicPr>
        <xdr:cNvPr id="104" name="Picture 103">
          <a:extLst>
            <a:ext uri="{FF2B5EF4-FFF2-40B4-BE49-F238E27FC236}">
              <a16:creationId xmlns:a16="http://schemas.microsoft.com/office/drawing/2014/main" id="{691C47BF-52D1-4113-9B98-03F9ADD2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9907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12</xdr:row>
      <xdr:rowOff>0</xdr:rowOff>
    </xdr:from>
    <xdr:ext cx="209550" cy="142875"/>
    <xdr:pic>
      <xdr:nvPicPr>
        <xdr:cNvPr id="105" name="Picture 104">
          <a:extLst>
            <a:ext uri="{FF2B5EF4-FFF2-40B4-BE49-F238E27FC236}">
              <a16:creationId xmlns:a16="http://schemas.microsoft.com/office/drawing/2014/main" id="{CD9D92A8-7C45-4D4B-BEBD-E5F8D4ABB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352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13</xdr:row>
      <xdr:rowOff>0</xdr:rowOff>
    </xdr:from>
    <xdr:ext cx="209550" cy="123825"/>
    <xdr:pic>
      <xdr:nvPicPr>
        <xdr:cNvPr id="106" name="Picture 105">
          <a:extLst>
            <a:ext uri="{FF2B5EF4-FFF2-40B4-BE49-F238E27FC236}">
              <a16:creationId xmlns:a16="http://schemas.microsoft.com/office/drawing/2014/main" id="{C735EB5F-C1AA-48A7-A4E2-D44A8E5E7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5336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14</xdr:row>
      <xdr:rowOff>0</xdr:rowOff>
    </xdr:from>
    <xdr:ext cx="209550" cy="104775"/>
    <xdr:pic>
      <xdr:nvPicPr>
        <xdr:cNvPr id="107" name="Picture 106">
          <a:extLst>
            <a:ext uri="{FF2B5EF4-FFF2-40B4-BE49-F238E27FC236}">
              <a16:creationId xmlns:a16="http://schemas.microsoft.com/office/drawing/2014/main" id="{E068EE3A-4CAF-40DA-B0BA-5F7685F4C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7146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15</xdr:row>
      <xdr:rowOff>0</xdr:rowOff>
    </xdr:from>
    <xdr:ext cx="209550" cy="142875"/>
    <xdr:pic>
      <xdr:nvPicPr>
        <xdr:cNvPr id="108" name="Picture 107">
          <a:extLst>
            <a:ext uri="{FF2B5EF4-FFF2-40B4-BE49-F238E27FC236}">
              <a16:creationId xmlns:a16="http://schemas.microsoft.com/office/drawing/2014/main" id="{9AB967A4-34E1-4B3A-B16E-6DD1E18AA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2895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16</xdr:row>
      <xdr:rowOff>0</xdr:rowOff>
    </xdr:from>
    <xdr:ext cx="209550" cy="142875"/>
    <xdr:pic>
      <xdr:nvPicPr>
        <xdr:cNvPr id="109" name="Picture 108">
          <a:extLst>
            <a:ext uri="{FF2B5EF4-FFF2-40B4-BE49-F238E27FC236}">
              <a16:creationId xmlns:a16="http://schemas.microsoft.com/office/drawing/2014/main" id="{BD216703-B0D0-47C1-8591-3A8112F4E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076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17</xdr:row>
      <xdr:rowOff>0</xdr:rowOff>
    </xdr:from>
    <xdr:ext cx="209550" cy="142875"/>
    <xdr:pic>
      <xdr:nvPicPr>
        <xdr:cNvPr id="110" name="Picture 109">
          <a:extLst>
            <a:ext uri="{FF2B5EF4-FFF2-40B4-BE49-F238E27FC236}">
              <a16:creationId xmlns:a16="http://schemas.microsoft.com/office/drawing/2014/main" id="{07EAA03D-E1C4-405C-ABE2-58C9AB6C6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257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18</xdr:row>
      <xdr:rowOff>0</xdr:rowOff>
    </xdr:from>
    <xdr:ext cx="209550" cy="142875"/>
    <xdr:pic>
      <xdr:nvPicPr>
        <xdr:cNvPr id="111" name="Picture 110">
          <a:extLst>
            <a:ext uri="{FF2B5EF4-FFF2-40B4-BE49-F238E27FC236}">
              <a16:creationId xmlns:a16="http://schemas.microsoft.com/office/drawing/2014/main" id="{051A133E-78FE-44AB-A62C-DAE3A816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438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19</xdr:row>
      <xdr:rowOff>0</xdr:rowOff>
    </xdr:from>
    <xdr:ext cx="209550" cy="142875"/>
    <xdr:pic>
      <xdr:nvPicPr>
        <xdr:cNvPr id="112" name="Picture 111">
          <a:extLst>
            <a:ext uri="{FF2B5EF4-FFF2-40B4-BE49-F238E27FC236}">
              <a16:creationId xmlns:a16="http://schemas.microsoft.com/office/drawing/2014/main" id="{D9A98243-5E78-46D1-876E-04A73171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619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20</xdr:row>
      <xdr:rowOff>0</xdr:rowOff>
    </xdr:from>
    <xdr:ext cx="209550" cy="142875"/>
    <xdr:pic>
      <xdr:nvPicPr>
        <xdr:cNvPr id="113" name="Picture 112">
          <a:extLst>
            <a:ext uri="{FF2B5EF4-FFF2-40B4-BE49-F238E27FC236}">
              <a16:creationId xmlns:a16="http://schemas.microsoft.com/office/drawing/2014/main" id="{B75466E5-39D4-461B-AD08-6D9C38632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800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21</xdr:row>
      <xdr:rowOff>0</xdr:rowOff>
    </xdr:from>
    <xdr:ext cx="209550" cy="161925"/>
    <xdr:pic>
      <xdr:nvPicPr>
        <xdr:cNvPr id="114" name="Picture 113">
          <a:extLst>
            <a:ext uri="{FF2B5EF4-FFF2-40B4-BE49-F238E27FC236}">
              <a16:creationId xmlns:a16="http://schemas.microsoft.com/office/drawing/2014/main" id="{AEC86CAC-5E29-4332-B7B8-5282A2CEC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3981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22</xdr:row>
      <xdr:rowOff>0</xdr:rowOff>
    </xdr:from>
    <xdr:ext cx="209550" cy="142875"/>
    <xdr:pic>
      <xdr:nvPicPr>
        <xdr:cNvPr id="115" name="Picture 114">
          <a:extLst>
            <a:ext uri="{FF2B5EF4-FFF2-40B4-BE49-F238E27FC236}">
              <a16:creationId xmlns:a16="http://schemas.microsoft.com/office/drawing/2014/main" id="{79B92165-7274-4390-A5CF-2402C5D0B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4162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23</xdr:row>
      <xdr:rowOff>0</xdr:rowOff>
    </xdr:from>
    <xdr:ext cx="209550" cy="104775"/>
    <xdr:pic>
      <xdr:nvPicPr>
        <xdr:cNvPr id="116" name="Picture 115">
          <a:extLst>
            <a:ext uri="{FF2B5EF4-FFF2-40B4-BE49-F238E27FC236}">
              <a16:creationId xmlns:a16="http://schemas.microsoft.com/office/drawing/2014/main" id="{F23AAA6A-1E5F-4D98-8BAD-EA106A77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43434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24</xdr:row>
      <xdr:rowOff>0</xdr:rowOff>
    </xdr:from>
    <xdr:ext cx="209550" cy="133350"/>
    <xdr:pic>
      <xdr:nvPicPr>
        <xdr:cNvPr id="117" name="Picture 116">
          <a:extLst>
            <a:ext uri="{FF2B5EF4-FFF2-40B4-BE49-F238E27FC236}">
              <a16:creationId xmlns:a16="http://schemas.microsoft.com/office/drawing/2014/main" id="{E689162B-56A8-4F1B-AC0F-FC7DFD90F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452437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25</xdr:row>
      <xdr:rowOff>0</xdr:rowOff>
    </xdr:from>
    <xdr:ext cx="209550" cy="123825"/>
    <xdr:pic>
      <xdr:nvPicPr>
        <xdr:cNvPr id="118" name="Picture 117">
          <a:extLst>
            <a:ext uri="{FF2B5EF4-FFF2-40B4-BE49-F238E27FC236}">
              <a16:creationId xmlns:a16="http://schemas.microsoft.com/office/drawing/2014/main" id="{EBED2E9F-AF4B-4B49-93DA-C18F7275B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47053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26</xdr:row>
      <xdr:rowOff>0</xdr:rowOff>
    </xdr:from>
    <xdr:ext cx="209550" cy="142875"/>
    <xdr:pic>
      <xdr:nvPicPr>
        <xdr:cNvPr id="119" name="Picture 118">
          <a:extLst>
            <a:ext uri="{FF2B5EF4-FFF2-40B4-BE49-F238E27FC236}">
              <a16:creationId xmlns:a16="http://schemas.microsoft.com/office/drawing/2014/main" id="{F5B1E759-4001-4D4D-B784-233F918C1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4886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27</xdr:row>
      <xdr:rowOff>0</xdr:rowOff>
    </xdr:from>
    <xdr:ext cx="209550" cy="142875"/>
    <xdr:pic>
      <xdr:nvPicPr>
        <xdr:cNvPr id="120" name="Picture 119">
          <a:extLst>
            <a:ext uri="{FF2B5EF4-FFF2-40B4-BE49-F238E27FC236}">
              <a16:creationId xmlns:a16="http://schemas.microsoft.com/office/drawing/2014/main" id="{971043B8-0A92-4ACE-99E7-689D7321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067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28</xdr:row>
      <xdr:rowOff>0</xdr:rowOff>
    </xdr:from>
    <xdr:ext cx="209550" cy="123825"/>
    <xdr:pic>
      <xdr:nvPicPr>
        <xdr:cNvPr id="121" name="Picture 120">
          <a:extLst>
            <a:ext uri="{FF2B5EF4-FFF2-40B4-BE49-F238E27FC236}">
              <a16:creationId xmlns:a16="http://schemas.microsoft.com/office/drawing/2014/main" id="{CAFDF10F-42D3-423C-907C-DDFBA59FC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2482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29</xdr:row>
      <xdr:rowOff>0</xdr:rowOff>
    </xdr:from>
    <xdr:ext cx="209550" cy="104775"/>
    <xdr:pic>
      <xdr:nvPicPr>
        <xdr:cNvPr id="122" name="Picture 121">
          <a:extLst>
            <a:ext uri="{FF2B5EF4-FFF2-40B4-BE49-F238E27FC236}">
              <a16:creationId xmlns:a16="http://schemas.microsoft.com/office/drawing/2014/main" id="{7CEB1EE3-FF03-4DD1-9016-2CD40D3D5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429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30</xdr:row>
      <xdr:rowOff>0</xdr:rowOff>
    </xdr:from>
    <xdr:ext cx="209550" cy="142875"/>
    <xdr:pic>
      <xdr:nvPicPr>
        <xdr:cNvPr id="123" name="Picture 122">
          <a:extLst>
            <a:ext uri="{FF2B5EF4-FFF2-40B4-BE49-F238E27FC236}">
              <a16:creationId xmlns:a16="http://schemas.microsoft.com/office/drawing/2014/main" id="{5DD4FFAC-3FAA-4D1C-B82B-68ED30D0B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610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31</xdr:row>
      <xdr:rowOff>0</xdr:rowOff>
    </xdr:from>
    <xdr:ext cx="209550" cy="104775"/>
    <xdr:pic>
      <xdr:nvPicPr>
        <xdr:cNvPr id="124" name="Picture 123">
          <a:extLst>
            <a:ext uri="{FF2B5EF4-FFF2-40B4-BE49-F238E27FC236}">
              <a16:creationId xmlns:a16="http://schemas.microsoft.com/office/drawing/2014/main" id="{097A4497-FE8E-497E-B80A-070BA679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7912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32</xdr:row>
      <xdr:rowOff>0</xdr:rowOff>
    </xdr:from>
    <xdr:ext cx="209550" cy="123825"/>
    <xdr:pic>
      <xdr:nvPicPr>
        <xdr:cNvPr id="125" name="Picture 124">
          <a:extLst>
            <a:ext uri="{FF2B5EF4-FFF2-40B4-BE49-F238E27FC236}">
              <a16:creationId xmlns:a16="http://schemas.microsoft.com/office/drawing/2014/main" id="{B5A55651-38F9-42B1-BDC0-5AE7D2A95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59721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33</xdr:row>
      <xdr:rowOff>0</xdr:rowOff>
    </xdr:from>
    <xdr:ext cx="209550" cy="142875"/>
    <xdr:pic>
      <xdr:nvPicPr>
        <xdr:cNvPr id="126" name="Picture 125">
          <a:extLst>
            <a:ext uri="{FF2B5EF4-FFF2-40B4-BE49-F238E27FC236}">
              <a16:creationId xmlns:a16="http://schemas.microsoft.com/office/drawing/2014/main" id="{38F0F968-267F-4AF3-AA7E-AC0B1D34A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6153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34</xdr:row>
      <xdr:rowOff>0</xdr:rowOff>
    </xdr:from>
    <xdr:ext cx="209550" cy="104775"/>
    <xdr:pic>
      <xdr:nvPicPr>
        <xdr:cNvPr id="127" name="Picture 126">
          <a:extLst>
            <a:ext uri="{FF2B5EF4-FFF2-40B4-BE49-F238E27FC236}">
              <a16:creationId xmlns:a16="http://schemas.microsoft.com/office/drawing/2014/main" id="{56654E9C-1DED-4E2B-87D8-A4D9F499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63341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35</xdr:row>
      <xdr:rowOff>0</xdr:rowOff>
    </xdr:from>
    <xdr:ext cx="209550" cy="152400"/>
    <xdr:pic>
      <xdr:nvPicPr>
        <xdr:cNvPr id="128" name="Picture 127">
          <a:extLst>
            <a:ext uri="{FF2B5EF4-FFF2-40B4-BE49-F238E27FC236}">
              <a16:creationId xmlns:a16="http://schemas.microsoft.com/office/drawing/2014/main" id="{EDA9175C-9119-417C-AB58-2DCFCB5A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6515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36</xdr:row>
      <xdr:rowOff>0</xdr:rowOff>
    </xdr:from>
    <xdr:ext cx="209550" cy="142875"/>
    <xdr:pic>
      <xdr:nvPicPr>
        <xdr:cNvPr id="129" name="Picture 128">
          <a:extLst>
            <a:ext uri="{FF2B5EF4-FFF2-40B4-BE49-F238E27FC236}">
              <a16:creationId xmlns:a16="http://schemas.microsoft.com/office/drawing/2014/main" id="{53D81E4B-E57C-428D-81BD-A85435B6F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6696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37</xdr:row>
      <xdr:rowOff>0</xdr:rowOff>
    </xdr:from>
    <xdr:ext cx="209550" cy="142875"/>
    <xdr:pic>
      <xdr:nvPicPr>
        <xdr:cNvPr id="130" name="Picture 129">
          <a:extLst>
            <a:ext uri="{FF2B5EF4-FFF2-40B4-BE49-F238E27FC236}">
              <a16:creationId xmlns:a16="http://schemas.microsoft.com/office/drawing/2014/main" id="{73B66C7F-5FCA-48EF-B0DA-01D5C7D57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6877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38</xdr:row>
      <xdr:rowOff>0</xdr:rowOff>
    </xdr:from>
    <xdr:ext cx="209550" cy="123825"/>
    <xdr:pic>
      <xdr:nvPicPr>
        <xdr:cNvPr id="131" name="Picture 130">
          <a:extLst>
            <a:ext uri="{FF2B5EF4-FFF2-40B4-BE49-F238E27FC236}">
              <a16:creationId xmlns:a16="http://schemas.microsoft.com/office/drawing/2014/main" id="{A12CC6CB-0CAB-4C05-89AD-8F6CE061B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2390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39</xdr:row>
      <xdr:rowOff>0</xdr:rowOff>
    </xdr:from>
    <xdr:ext cx="209550" cy="142875"/>
    <xdr:pic>
      <xdr:nvPicPr>
        <xdr:cNvPr id="132" name="Picture 131">
          <a:extLst>
            <a:ext uri="{FF2B5EF4-FFF2-40B4-BE49-F238E27FC236}">
              <a16:creationId xmlns:a16="http://schemas.microsoft.com/office/drawing/2014/main" id="{843A52F4-7E3E-429B-9D51-AC8B1BF30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419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40</xdr:row>
      <xdr:rowOff>0</xdr:rowOff>
    </xdr:from>
    <xdr:ext cx="209550" cy="152400"/>
    <xdr:pic>
      <xdr:nvPicPr>
        <xdr:cNvPr id="133" name="Picture 132">
          <a:extLst>
            <a:ext uri="{FF2B5EF4-FFF2-40B4-BE49-F238E27FC236}">
              <a16:creationId xmlns:a16="http://schemas.microsoft.com/office/drawing/2014/main" id="{FA8EDB7C-F3CE-4ADB-AC8C-EC0F62C5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6009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41</xdr:row>
      <xdr:rowOff>0</xdr:rowOff>
    </xdr:from>
    <xdr:ext cx="209550" cy="142875"/>
    <xdr:pic>
      <xdr:nvPicPr>
        <xdr:cNvPr id="134" name="Picture 133">
          <a:extLst>
            <a:ext uri="{FF2B5EF4-FFF2-40B4-BE49-F238E27FC236}">
              <a16:creationId xmlns:a16="http://schemas.microsoft.com/office/drawing/2014/main" id="{A402ED6D-69CC-49E2-8387-A1DBB52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781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42</xdr:row>
      <xdr:rowOff>0</xdr:rowOff>
    </xdr:from>
    <xdr:ext cx="209550" cy="104775"/>
    <xdr:pic>
      <xdr:nvPicPr>
        <xdr:cNvPr id="135" name="Picture 134">
          <a:extLst>
            <a:ext uri="{FF2B5EF4-FFF2-40B4-BE49-F238E27FC236}">
              <a16:creationId xmlns:a16="http://schemas.microsoft.com/office/drawing/2014/main" id="{559D961E-47FC-4B63-BB08-6D552B65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79629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43</xdr:row>
      <xdr:rowOff>0</xdr:rowOff>
    </xdr:from>
    <xdr:ext cx="209550" cy="142875"/>
    <xdr:pic>
      <xdr:nvPicPr>
        <xdr:cNvPr id="136" name="Picture 135">
          <a:extLst>
            <a:ext uri="{FF2B5EF4-FFF2-40B4-BE49-F238E27FC236}">
              <a16:creationId xmlns:a16="http://schemas.microsoft.com/office/drawing/2014/main" id="{DD8617E9-851C-464D-AF54-6A126B2CD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8143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44</xdr:row>
      <xdr:rowOff>0</xdr:rowOff>
    </xdr:from>
    <xdr:ext cx="209550" cy="142875"/>
    <xdr:pic>
      <xdr:nvPicPr>
        <xdr:cNvPr id="137" name="Picture 136">
          <a:extLst>
            <a:ext uri="{FF2B5EF4-FFF2-40B4-BE49-F238E27FC236}">
              <a16:creationId xmlns:a16="http://schemas.microsoft.com/office/drawing/2014/main" id="{DB1B7F65-3DE1-403B-ACA0-4D76BDBA2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8324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45</xdr:row>
      <xdr:rowOff>0</xdr:rowOff>
    </xdr:from>
    <xdr:ext cx="209550" cy="142875"/>
    <xdr:pic>
      <xdr:nvPicPr>
        <xdr:cNvPr id="138" name="Picture 137">
          <a:extLst>
            <a:ext uri="{FF2B5EF4-FFF2-40B4-BE49-F238E27FC236}">
              <a16:creationId xmlns:a16="http://schemas.microsoft.com/office/drawing/2014/main" id="{AC730490-D1A6-47B2-B64A-F285DBDCF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8505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46</xdr:row>
      <xdr:rowOff>0</xdr:rowOff>
    </xdr:from>
    <xdr:ext cx="209550" cy="152400"/>
    <xdr:pic>
      <xdr:nvPicPr>
        <xdr:cNvPr id="139" name="Picture 138">
          <a:extLst>
            <a:ext uri="{FF2B5EF4-FFF2-40B4-BE49-F238E27FC236}">
              <a16:creationId xmlns:a16="http://schemas.microsoft.com/office/drawing/2014/main" id="{8FEB5892-18E1-4890-96CC-FE533DC15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86868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47</xdr:row>
      <xdr:rowOff>0</xdr:rowOff>
    </xdr:from>
    <xdr:ext cx="209550" cy="123825"/>
    <xdr:pic>
      <xdr:nvPicPr>
        <xdr:cNvPr id="140" name="Picture 139">
          <a:extLst>
            <a:ext uri="{FF2B5EF4-FFF2-40B4-BE49-F238E27FC236}">
              <a16:creationId xmlns:a16="http://schemas.microsoft.com/office/drawing/2014/main" id="{A92C50F4-657C-44BB-95C0-282A8F196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88677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48</xdr:row>
      <xdr:rowOff>0</xdr:rowOff>
    </xdr:from>
    <xdr:ext cx="209550" cy="142875"/>
    <xdr:pic>
      <xdr:nvPicPr>
        <xdr:cNvPr id="141" name="Picture 140">
          <a:extLst>
            <a:ext uri="{FF2B5EF4-FFF2-40B4-BE49-F238E27FC236}">
              <a16:creationId xmlns:a16="http://schemas.microsoft.com/office/drawing/2014/main" id="{A478E9F5-F548-4351-B590-B0057E430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048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49</xdr:row>
      <xdr:rowOff>0</xdr:rowOff>
    </xdr:from>
    <xdr:ext cx="209550" cy="142875"/>
    <xdr:pic>
      <xdr:nvPicPr>
        <xdr:cNvPr id="142" name="Picture 141">
          <a:extLst>
            <a:ext uri="{FF2B5EF4-FFF2-40B4-BE49-F238E27FC236}">
              <a16:creationId xmlns:a16="http://schemas.microsoft.com/office/drawing/2014/main" id="{398AE06A-3DA6-4A01-AAC9-4B8F747E5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229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50</xdr:row>
      <xdr:rowOff>0</xdr:rowOff>
    </xdr:from>
    <xdr:ext cx="209550" cy="123825"/>
    <xdr:pic>
      <xdr:nvPicPr>
        <xdr:cNvPr id="143" name="Picture 142">
          <a:extLst>
            <a:ext uri="{FF2B5EF4-FFF2-40B4-BE49-F238E27FC236}">
              <a16:creationId xmlns:a16="http://schemas.microsoft.com/office/drawing/2014/main" id="{E857977C-E575-430A-B581-99D54C3F7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4107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51</xdr:row>
      <xdr:rowOff>0</xdr:rowOff>
    </xdr:from>
    <xdr:ext cx="209550" cy="123825"/>
    <xdr:pic>
      <xdr:nvPicPr>
        <xdr:cNvPr id="144" name="Picture 143">
          <a:extLst>
            <a:ext uri="{FF2B5EF4-FFF2-40B4-BE49-F238E27FC236}">
              <a16:creationId xmlns:a16="http://schemas.microsoft.com/office/drawing/2014/main" id="{CCA3E1B6-423C-44BA-B3A1-5695C307C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5916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52</xdr:row>
      <xdr:rowOff>0</xdr:rowOff>
    </xdr:from>
    <xdr:ext cx="209550" cy="123825"/>
    <xdr:pic>
      <xdr:nvPicPr>
        <xdr:cNvPr id="145" name="Picture 144">
          <a:extLst>
            <a:ext uri="{FF2B5EF4-FFF2-40B4-BE49-F238E27FC236}">
              <a16:creationId xmlns:a16="http://schemas.microsoft.com/office/drawing/2014/main" id="{7AADA566-15CC-4DF6-99F0-0B3AF7DC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7726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53</xdr:row>
      <xdr:rowOff>0</xdr:rowOff>
    </xdr:from>
    <xdr:ext cx="209550" cy="142875"/>
    <xdr:pic>
      <xdr:nvPicPr>
        <xdr:cNvPr id="146" name="Picture 145">
          <a:extLst>
            <a:ext uri="{FF2B5EF4-FFF2-40B4-BE49-F238E27FC236}">
              <a16:creationId xmlns:a16="http://schemas.microsoft.com/office/drawing/2014/main" id="{782F54E3-768B-45EE-BF2D-DB0DB1A60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9953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54</xdr:row>
      <xdr:rowOff>0</xdr:rowOff>
    </xdr:from>
    <xdr:ext cx="209550" cy="104775"/>
    <xdr:pic>
      <xdr:nvPicPr>
        <xdr:cNvPr id="147" name="Picture 146">
          <a:extLst>
            <a:ext uri="{FF2B5EF4-FFF2-40B4-BE49-F238E27FC236}">
              <a16:creationId xmlns:a16="http://schemas.microsoft.com/office/drawing/2014/main" id="{41C5B03B-8993-46FC-AE95-259BC6AB6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01346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55</xdr:row>
      <xdr:rowOff>0</xdr:rowOff>
    </xdr:from>
    <xdr:ext cx="209550" cy="142875"/>
    <xdr:pic>
      <xdr:nvPicPr>
        <xdr:cNvPr id="148" name="Picture 147">
          <a:extLst>
            <a:ext uri="{FF2B5EF4-FFF2-40B4-BE49-F238E27FC236}">
              <a16:creationId xmlns:a16="http://schemas.microsoft.com/office/drawing/2014/main" id="{0749450F-650C-49BB-B7DF-EFE02843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0315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56</xdr:row>
      <xdr:rowOff>0</xdr:rowOff>
    </xdr:from>
    <xdr:ext cx="209550" cy="123825"/>
    <xdr:pic>
      <xdr:nvPicPr>
        <xdr:cNvPr id="149" name="Picture 148">
          <a:extLst>
            <a:ext uri="{FF2B5EF4-FFF2-40B4-BE49-F238E27FC236}">
              <a16:creationId xmlns:a16="http://schemas.microsoft.com/office/drawing/2014/main" id="{49D07310-08D8-460E-8497-88DA6C67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04965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57</xdr:row>
      <xdr:rowOff>0</xdr:rowOff>
    </xdr:from>
    <xdr:ext cx="209550" cy="142875"/>
    <xdr:pic>
      <xdr:nvPicPr>
        <xdr:cNvPr id="150" name="Picture 149">
          <a:extLst>
            <a:ext uri="{FF2B5EF4-FFF2-40B4-BE49-F238E27FC236}">
              <a16:creationId xmlns:a16="http://schemas.microsoft.com/office/drawing/2014/main" id="{0C9F65E5-8124-4A55-80BE-103ECB85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0677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58</xdr:row>
      <xdr:rowOff>0</xdr:rowOff>
    </xdr:from>
    <xdr:ext cx="209550" cy="171450"/>
    <xdr:pic>
      <xdr:nvPicPr>
        <xdr:cNvPr id="151" name="Picture 150">
          <a:extLst>
            <a:ext uri="{FF2B5EF4-FFF2-40B4-BE49-F238E27FC236}">
              <a16:creationId xmlns:a16="http://schemas.microsoft.com/office/drawing/2014/main" id="{7B0066E7-EBF6-48F3-876A-E8F9E8D4C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0858500"/>
          <a:ext cx="2095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59</xdr:row>
      <xdr:rowOff>0</xdr:rowOff>
    </xdr:from>
    <xdr:ext cx="209550" cy="104775"/>
    <xdr:pic>
      <xdr:nvPicPr>
        <xdr:cNvPr id="152" name="Picture 151">
          <a:extLst>
            <a:ext uri="{FF2B5EF4-FFF2-40B4-BE49-F238E27FC236}">
              <a16:creationId xmlns:a16="http://schemas.microsoft.com/office/drawing/2014/main" id="{69F27761-2BCF-40BB-8A41-5F61139DD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10394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60</xdr:row>
      <xdr:rowOff>0</xdr:rowOff>
    </xdr:from>
    <xdr:ext cx="209550" cy="104775"/>
    <xdr:pic>
      <xdr:nvPicPr>
        <xdr:cNvPr id="153" name="Picture 152">
          <a:extLst>
            <a:ext uri="{FF2B5EF4-FFF2-40B4-BE49-F238E27FC236}">
              <a16:creationId xmlns:a16="http://schemas.microsoft.com/office/drawing/2014/main" id="{CB2184B5-838A-4C3A-9E89-6B31C6D70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12204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61</xdr:row>
      <xdr:rowOff>0</xdr:rowOff>
    </xdr:from>
    <xdr:ext cx="209550" cy="142875"/>
    <xdr:pic>
      <xdr:nvPicPr>
        <xdr:cNvPr id="154" name="Picture 153">
          <a:extLst>
            <a:ext uri="{FF2B5EF4-FFF2-40B4-BE49-F238E27FC236}">
              <a16:creationId xmlns:a16="http://schemas.microsoft.com/office/drawing/2014/main" id="{A8BF42C6-4693-4BA7-B3AF-252DE299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1401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62</xdr:row>
      <xdr:rowOff>0</xdr:rowOff>
    </xdr:from>
    <xdr:ext cx="209550" cy="142875"/>
    <xdr:pic>
      <xdr:nvPicPr>
        <xdr:cNvPr id="155" name="Picture 154">
          <a:extLst>
            <a:ext uri="{FF2B5EF4-FFF2-40B4-BE49-F238E27FC236}">
              <a16:creationId xmlns:a16="http://schemas.microsoft.com/office/drawing/2014/main" id="{A263B953-E243-40DD-A269-9AE3F310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1582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63</xdr:row>
      <xdr:rowOff>0</xdr:rowOff>
    </xdr:from>
    <xdr:ext cx="209550" cy="104775"/>
    <xdr:pic>
      <xdr:nvPicPr>
        <xdr:cNvPr id="156" name="Picture 155">
          <a:extLst>
            <a:ext uri="{FF2B5EF4-FFF2-40B4-BE49-F238E27FC236}">
              <a16:creationId xmlns:a16="http://schemas.microsoft.com/office/drawing/2014/main" id="{D91AFB05-AEA5-43A3-B572-E9C185F3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17633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64</xdr:row>
      <xdr:rowOff>0</xdr:rowOff>
    </xdr:from>
    <xdr:ext cx="209550" cy="104775"/>
    <xdr:pic>
      <xdr:nvPicPr>
        <xdr:cNvPr id="157" name="Picture 156">
          <a:extLst>
            <a:ext uri="{FF2B5EF4-FFF2-40B4-BE49-F238E27FC236}">
              <a16:creationId xmlns:a16="http://schemas.microsoft.com/office/drawing/2014/main" id="{9C2BFA9E-0C98-43BF-AE02-A6D31B416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19443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65</xdr:row>
      <xdr:rowOff>0</xdr:rowOff>
    </xdr:from>
    <xdr:ext cx="209550" cy="142875"/>
    <xdr:pic>
      <xdr:nvPicPr>
        <xdr:cNvPr id="158" name="Picture 157">
          <a:extLst>
            <a:ext uri="{FF2B5EF4-FFF2-40B4-BE49-F238E27FC236}">
              <a16:creationId xmlns:a16="http://schemas.microsoft.com/office/drawing/2014/main" id="{5872ED88-34DE-4E56-85A1-82ED112B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2125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66</xdr:row>
      <xdr:rowOff>0</xdr:rowOff>
    </xdr:from>
    <xdr:ext cx="209550" cy="152400"/>
    <xdr:pic>
      <xdr:nvPicPr>
        <xdr:cNvPr id="159" name="Picture 158">
          <a:extLst>
            <a:ext uri="{FF2B5EF4-FFF2-40B4-BE49-F238E27FC236}">
              <a16:creationId xmlns:a16="http://schemas.microsoft.com/office/drawing/2014/main" id="{B9D2129E-CCBA-4FA8-923E-37BAB772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23063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67</xdr:row>
      <xdr:rowOff>0</xdr:rowOff>
    </xdr:from>
    <xdr:ext cx="209550" cy="142875"/>
    <xdr:pic>
      <xdr:nvPicPr>
        <xdr:cNvPr id="160" name="Picture 159">
          <a:extLst>
            <a:ext uri="{FF2B5EF4-FFF2-40B4-BE49-F238E27FC236}">
              <a16:creationId xmlns:a16="http://schemas.microsoft.com/office/drawing/2014/main" id="{D8E3814B-9403-4507-8D48-BED93CCA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2487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68</xdr:row>
      <xdr:rowOff>0</xdr:rowOff>
    </xdr:from>
    <xdr:ext cx="209550" cy="104775"/>
    <xdr:pic>
      <xdr:nvPicPr>
        <xdr:cNvPr id="161" name="Picture 160">
          <a:extLst>
            <a:ext uri="{FF2B5EF4-FFF2-40B4-BE49-F238E27FC236}">
              <a16:creationId xmlns:a16="http://schemas.microsoft.com/office/drawing/2014/main" id="{3B36E9A2-FC8D-409D-9797-147CAE144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2668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69</xdr:row>
      <xdr:rowOff>0</xdr:rowOff>
    </xdr:from>
    <xdr:ext cx="209550" cy="133350"/>
    <xdr:pic>
      <xdr:nvPicPr>
        <xdr:cNvPr id="162" name="Picture 161">
          <a:extLst>
            <a:ext uri="{FF2B5EF4-FFF2-40B4-BE49-F238E27FC236}">
              <a16:creationId xmlns:a16="http://schemas.microsoft.com/office/drawing/2014/main" id="{910AD921-1B00-450A-ADD0-EF791DBEF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28492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70</xdr:row>
      <xdr:rowOff>0</xdr:rowOff>
    </xdr:from>
    <xdr:ext cx="209550" cy="142875"/>
    <xdr:pic>
      <xdr:nvPicPr>
        <xdr:cNvPr id="163" name="Picture 162">
          <a:extLst>
            <a:ext uri="{FF2B5EF4-FFF2-40B4-BE49-F238E27FC236}">
              <a16:creationId xmlns:a16="http://schemas.microsoft.com/office/drawing/2014/main" id="{F9EC856C-1BC4-48AB-A42D-DE7625A0A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030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71</xdr:row>
      <xdr:rowOff>0</xdr:rowOff>
    </xdr:from>
    <xdr:ext cx="209550" cy="142875"/>
    <xdr:pic>
      <xdr:nvPicPr>
        <xdr:cNvPr id="164" name="Picture 163">
          <a:extLst>
            <a:ext uri="{FF2B5EF4-FFF2-40B4-BE49-F238E27FC236}">
              <a16:creationId xmlns:a16="http://schemas.microsoft.com/office/drawing/2014/main" id="{01BD8088-9311-4E7D-A8E8-8B6263D28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211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72</xdr:row>
      <xdr:rowOff>0</xdr:rowOff>
    </xdr:from>
    <xdr:ext cx="209550" cy="161925"/>
    <xdr:pic>
      <xdr:nvPicPr>
        <xdr:cNvPr id="165" name="Picture 164">
          <a:extLst>
            <a:ext uri="{FF2B5EF4-FFF2-40B4-BE49-F238E27FC236}">
              <a16:creationId xmlns:a16="http://schemas.microsoft.com/office/drawing/2014/main" id="{944E3B76-8EE3-4128-8D64-140CD470F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3921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73</xdr:row>
      <xdr:rowOff>0</xdr:rowOff>
    </xdr:from>
    <xdr:ext cx="209550" cy="142875"/>
    <xdr:pic>
      <xdr:nvPicPr>
        <xdr:cNvPr id="166" name="Picture 165">
          <a:extLst>
            <a:ext uri="{FF2B5EF4-FFF2-40B4-BE49-F238E27FC236}">
              <a16:creationId xmlns:a16="http://schemas.microsoft.com/office/drawing/2014/main" id="{772847B4-C45D-4EA3-9ACE-1ED467F5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573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74</xdr:row>
      <xdr:rowOff>0</xdr:rowOff>
    </xdr:from>
    <xdr:ext cx="209550" cy="142875"/>
    <xdr:pic>
      <xdr:nvPicPr>
        <xdr:cNvPr id="167" name="Picture 166">
          <a:extLst>
            <a:ext uri="{FF2B5EF4-FFF2-40B4-BE49-F238E27FC236}">
              <a16:creationId xmlns:a16="http://schemas.microsoft.com/office/drawing/2014/main" id="{FF18A430-F84F-4694-B3FC-77532A124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754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75</xdr:row>
      <xdr:rowOff>0</xdr:rowOff>
    </xdr:from>
    <xdr:ext cx="209550" cy="142875"/>
    <xdr:pic>
      <xdr:nvPicPr>
        <xdr:cNvPr id="168" name="Picture 167">
          <a:extLst>
            <a:ext uri="{FF2B5EF4-FFF2-40B4-BE49-F238E27FC236}">
              <a16:creationId xmlns:a16="http://schemas.microsoft.com/office/drawing/2014/main" id="{FC2C5C5E-EBE3-4755-87B0-F5856DE44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3935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76</xdr:row>
      <xdr:rowOff>0</xdr:rowOff>
    </xdr:from>
    <xdr:ext cx="209550" cy="142875"/>
    <xdr:pic>
      <xdr:nvPicPr>
        <xdr:cNvPr id="169" name="Picture 168">
          <a:extLst>
            <a:ext uri="{FF2B5EF4-FFF2-40B4-BE49-F238E27FC236}">
              <a16:creationId xmlns:a16="http://schemas.microsoft.com/office/drawing/2014/main" id="{EA24E41A-0043-40AF-8EBD-FDE99C41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116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77</xdr:row>
      <xdr:rowOff>0</xdr:rowOff>
    </xdr:from>
    <xdr:ext cx="209550" cy="142875"/>
    <xdr:pic>
      <xdr:nvPicPr>
        <xdr:cNvPr id="170" name="Picture 169">
          <a:extLst>
            <a:ext uri="{FF2B5EF4-FFF2-40B4-BE49-F238E27FC236}">
              <a16:creationId xmlns:a16="http://schemas.microsoft.com/office/drawing/2014/main" id="{3E1428E2-2823-4715-9F24-443F2DC6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297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78</xdr:row>
      <xdr:rowOff>0</xdr:rowOff>
    </xdr:from>
    <xdr:ext cx="209550" cy="142875"/>
    <xdr:pic>
      <xdr:nvPicPr>
        <xdr:cNvPr id="171" name="Picture 170">
          <a:extLst>
            <a:ext uri="{FF2B5EF4-FFF2-40B4-BE49-F238E27FC236}">
              <a16:creationId xmlns:a16="http://schemas.microsoft.com/office/drawing/2014/main" id="{CA331D9C-1097-4AC6-9722-71096C709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478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79</xdr:row>
      <xdr:rowOff>0</xdr:rowOff>
    </xdr:from>
    <xdr:ext cx="209550" cy="142875"/>
    <xdr:pic>
      <xdr:nvPicPr>
        <xdr:cNvPr id="172" name="Picture 171">
          <a:extLst>
            <a:ext uri="{FF2B5EF4-FFF2-40B4-BE49-F238E27FC236}">
              <a16:creationId xmlns:a16="http://schemas.microsoft.com/office/drawing/2014/main" id="{C7DD9F11-CC88-4C5F-B175-6D34D724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658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80</xdr:row>
      <xdr:rowOff>0</xdr:rowOff>
    </xdr:from>
    <xdr:ext cx="209550" cy="142875"/>
    <xdr:pic>
      <xdr:nvPicPr>
        <xdr:cNvPr id="173" name="Picture 172">
          <a:extLst>
            <a:ext uri="{FF2B5EF4-FFF2-40B4-BE49-F238E27FC236}">
              <a16:creationId xmlns:a16="http://schemas.microsoft.com/office/drawing/2014/main" id="{B4C85042-B614-4FBB-9A10-EE0CD390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4839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81</xdr:row>
      <xdr:rowOff>0</xdr:rowOff>
    </xdr:from>
    <xdr:ext cx="209550" cy="133350"/>
    <xdr:pic>
      <xdr:nvPicPr>
        <xdr:cNvPr id="174" name="Picture 173">
          <a:extLst>
            <a:ext uri="{FF2B5EF4-FFF2-40B4-BE49-F238E27FC236}">
              <a16:creationId xmlns:a16="http://schemas.microsoft.com/office/drawing/2014/main" id="{6C0CE658-6B03-496A-8365-A1596731C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50209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82</xdr:row>
      <xdr:rowOff>0</xdr:rowOff>
    </xdr:from>
    <xdr:ext cx="190500" cy="190500"/>
    <xdr:pic>
      <xdr:nvPicPr>
        <xdr:cNvPr id="175" name="Picture 174">
          <a:extLst>
            <a:ext uri="{FF2B5EF4-FFF2-40B4-BE49-F238E27FC236}">
              <a16:creationId xmlns:a16="http://schemas.microsoft.com/office/drawing/2014/main" id="{93F29191-CA8D-473D-87A5-F9BB55C2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5201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</xdr:row>
      <xdr:rowOff>0</xdr:rowOff>
    </xdr:from>
    <xdr:ext cx="209550" cy="142875"/>
    <xdr:pic>
      <xdr:nvPicPr>
        <xdr:cNvPr id="176" name="Picture 175">
          <a:extLst>
            <a:ext uri="{FF2B5EF4-FFF2-40B4-BE49-F238E27FC236}">
              <a16:creationId xmlns:a16="http://schemas.microsoft.com/office/drawing/2014/main" id="{D505351C-7CBD-4757-B6F5-0DF6F8319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5382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84</xdr:row>
      <xdr:rowOff>0</xdr:rowOff>
    </xdr:from>
    <xdr:ext cx="209550" cy="142875"/>
    <xdr:pic>
      <xdr:nvPicPr>
        <xdr:cNvPr id="177" name="Picture 176">
          <a:extLst>
            <a:ext uri="{FF2B5EF4-FFF2-40B4-BE49-F238E27FC236}">
              <a16:creationId xmlns:a16="http://schemas.microsoft.com/office/drawing/2014/main" id="{6D93672D-A095-4DF3-80A6-3D7880CED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5563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85</xdr:row>
      <xdr:rowOff>0</xdr:rowOff>
    </xdr:from>
    <xdr:ext cx="209550" cy="123825"/>
    <xdr:pic>
      <xdr:nvPicPr>
        <xdr:cNvPr id="178" name="Picture 177">
          <a:extLst>
            <a:ext uri="{FF2B5EF4-FFF2-40B4-BE49-F238E27FC236}">
              <a16:creationId xmlns:a16="http://schemas.microsoft.com/office/drawing/2014/main" id="{0E92593F-984D-489D-954C-895A277F8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57448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86</xdr:row>
      <xdr:rowOff>0</xdr:rowOff>
    </xdr:from>
    <xdr:ext cx="209550" cy="142875"/>
    <xdr:pic>
      <xdr:nvPicPr>
        <xdr:cNvPr id="179" name="Picture 178">
          <a:extLst>
            <a:ext uri="{FF2B5EF4-FFF2-40B4-BE49-F238E27FC236}">
              <a16:creationId xmlns:a16="http://schemas.microsoft.com/office/drawing/2014/main" id="{4A546677-E00F-4A28-BF02-129CFB3F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5925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87</xdr:row>
      <xdr:rowOff>0</xdr:rowOff>
    </xdr:from>
    <xdr:ext cx="209550" cy="142875"/>
    <xdr:pic>
      <xdr:nvPicPr>
        <xdr:cNvPr id="180" name="Picture 179">
          <a:extLst>
            <a:ext uri="{FF2B5EF4-FFF2-40B4-BE49-F238E27FC236}">
              <a16:creationId xmlns:a16="http://schemas.microsoft.com/office/drawing/2014/main" id="{B3C49633-FAC5-4ED7-91E0-ABD88FFF7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6106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88</xdr:row>
      <xdr:rowOff>0</xdr:rowOff>
    </xdr:from>
    <xdr:ext cx="209550" cy="104775"/>
    <xdr:pic>
      <xdr:nvPicPr>
        <xdr:cNvPr id="181" name="Picture 180">
          <a:extLst>
            <a:ext uri="{FF2B5EF4-FFF2-40B4-BE49-F238E27FC236}">
              <a16:creationId xmlns:a16="http://schemas.microsoft.com/office/drawing/2014/main" id="{CA5745AB-FEE5-4894-86E9-32760937C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62877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89</xdr:row>
      <xdr:rowOff>0</xdr:rowOff>
    </xdr:from>
    <xdr:ext cx="209550" cy="114300"/>
    <xdr:pic>
      <xdr:nvPicPr>
        <xdr:cNvPr id="182" name="Picture 181">
          <a:extLst>
            <a:ext uri="{FF2B5EF4-FFF2-40B4-BE49-F238E27FC236}">
              <a16:creationId xmlns:a16="http://schemas.microsoft.com/office/drawing/2014/main" id="{926743E9-EE52-4351-BFEC-B1FE1143A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64687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90</xdr:row>
      <xdr:rowOff>0</xdr:rowOff>
    </xdr:from>
    <xdr:ext cx="209550" cy="142875"/>
    <xdr:pic>
      <xdr:nvPicPr>
        <xdr:cNvPr id="183" name="Picture 182">
          <a:extLst>
            <a:ext uri="{FF2B5EF4-FFF2-40B4-BE49-F238E27FC236}">
              <a16:creationId xmlns:a16="http://schemas.microsoft.com/office/drawing/2014/main" id="{24C629C6-541F-424B-B0BF-3ACC0216D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6649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91</xdr:row>
      <xdr:rowOff>0</xdr:rowOff>
    </xdr:from>
    <xdr:ext cx="209550" cy="142875"/>
    <xdr:pic>
      <xdr:nvPicPr>
        <xdr:cNvPr id="184" name="Picture 183">
          <a:extLst>
            <a:ext uri="{FF2B5EF4-FFF2-40B4-BE49-F238E27FC236}">
              <a16:creationId xmlns:a16="http://schemas.microsoft.com/office/drawing/2014/main" id="{8005CD6F-F376-42F9-A448-D0D6E88F2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6830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92</xdr:row>
      <xdr:rowOff>0</xdr:rowOff>
    </xdr:from>
    <xdr:ext cx="209550" cy="142875"/>
    <xdr:pic>
      <xdr:nvPicPr>
        <xdr:cNvPr id="185" name="Picture 184">
          <a:extLst>
            <a:ext uri="{FF2B5EF4-FFF2-40B4-BE49-F238E27FC236}">
              <a16:creationId xmlns:a16="http://schemas.microsoft.com/office/drawing/2014/main" id="{1C52F99A-F3AD-43D6-9069-E2B357F56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7950" y="17011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Bulgaria_at_the_2026_Winter_Olympics" TargetMode="External"/><Relationship Id="rId18" Type="http://schemas.openxmlformats.org/officeDocument/2006/relationships/hyperlink" Target="https://en.wikipedia.org/wiki/Croatia_at_the_2026_Winter_Olympics" TargetMode="External"/><Relationship Id="rId26" Type="http://schemas.openxmlformats.org/officeDocument/2006/relationships/hyperlink" Target="https://en.wikipedia.org/wiki/France_at_the_2026_Winter_Olympics" TargetMode="External"/><Relationship Id="rId39" Type="http://schemas.openxmlformats.org/officeDocument/2006/relationships/hyperlink" Target="https://en.wikipedia.org/wiki/Ireland_at_the_2026_Winter_Olympics" TargetMode="External"/><Relationship Id="rId21" Type="http://schemas.openxmlformats.org/officeDocument/2006/relationships/hyperlink" Target="https://en.wikipedia.org/wiki/Denmark_at_the_2026_Winter_Olympics" TargetMode="External"/><Relationship Id="rId34" Type="http://schemas.openxmlformats.org/officeDocument/2006/relationships/hyperlink" Target="https://en.wikipedia.org/wiki/Hungary_at_the_2026_Winter_Olympics" TargetMode="External"/><Relationship Id="rId42" Type="http://schemas.openxmlformats.org/officeDocument/2006/relationships/hyperlink" Target="https://en.wikipedia.org/wiki/Jamaica_at_the_2026_Winter_Olympics" TargetMode="External"/><Relationship Id="rId47" Type="http://schemas.openxmlformats.org/officeDocument/2006/relationships/hyperlink" Target="https://en.wikipedia.org/wiki/Kyrgyzstan_at_the_2026_Winter_Olympics" TargetMode="External"/><Relationship Id="rId50" Type="http://schemas.openxmlformats.org/officeDocument/2006/relationships/hyperlink" Target="https://en.wikipedia.org/wiki/Liechtenstein_at_the_2026_Winter_Olympics" TargetMode="External"/><Relationship Id="rId55" Type="http://schemas.openxmlformats.org/officeDocument/2006/relationships/hyperlink" Target="https://en.wikipedia.org/wiki/Malta_at_the_2026_Winter_Olympics" TargetMode="External"/><Relationship Id="rId63" Type="http://schemas.openxmlformats.org/officeDocument/2006/relationships/hyperlink" Target="https://en.wikipedia.org/wiki/New_Zealand_at_the_2026_Winter_Olympics" TargetMode="External"/><Relationship Id="rId68" Type="http://schemas.openxmlformats.org/officeDocument/2006/relationships/hyperlink" Target="https://en.wikipedia.org/wiki/Philippines_at_the_2026_Winter_Olympics" TargetMode="External"/><Relationship Id="rId76" Type="http://schemas.openxmlformats.org/officeDocument/2006/relationships/hyperlink" Target="https://en.wikipedia.org/wiki/Slovakia_at_the_2026_Winter_Olympics" TargetMode="External"/><Relationship Id="rId84" Type="http://schemas.openxmlformats.org/officeDocument/2006/relationships/hyperlink" Target="https://en.wikipedia.org/wiki/Thailand_at_the_2026_Winter_Olympics" TargetMode="External"/><Relationship Id="rId89" Type="http://schemas.openxmlformats.org/officeDocument/2006/relationships/hyperlink" Target="https://en.wikipedia.org/wiki/United_States_at_the_2026_Winter_Olympics" TargetMode="External"/><Relationship Id="rId7" Type="http://schemas.openxmlformats.org/officeDocument/2006/relationships/hyperlink" Target="https://en.wikipedia.org/wiki/Azerbaijan_at_the_2026_Winter_Olympics" TargetMode="External"/><Relationship Id="rId71" Type="http://schemas.openxmlformats.org/officeDocument/2006/relationships/hyperlink" Target="https://en.wikipedia.org/wiki/Romania_at_the_2026_Winter_Olympics" TargetMode="External"/><Relationship Id="rId92" Type="http://schemas.openxmlformats.org/officeDocument/2006/relationships/hyperlink" Target="https://en.wikipedia.org/wiki/Venezuela_at_the_2026_Winter_Olympics" TargetMode="External"/><Relationship Id="rId2" Type="http://schemas.openxmlformats.org/officeDocument/2006/relationships/hyperlink" Target="https://en.wikipedia.org/wiki/Andorra_at_the_2026_Winter_Olympics" TargetMode="External"/><Relationship Id="rId16" Type="http://schemas.openxmlformats.org/officeDocument/2006/relationships/hyperlink" Target="https://en.wikipedia.org/wiki/China_at_the_2026_Winter_Olympics" TargetMode="External"/><Relationship Id="rId29" Type="http://schemas.openxmlformats.org/officeDocument/2006/relationships/hyperlink" Target="https://en.wikipedia.org/wiki/Great_Britain_at_the_2026_Winter_Olympics" TargetMode="External"/><Relationship Id="rId11" Type="http://schemas.openxmlformats.org/officeDocument/2006/relationships/hyperlink" Target="https://en.wikipedia.org/wiki/Bosnia_and_Herzegovina_at_the_2026_Winter_Olympics" TargetMode="External"/><Relationship Id="rId24" Type="http://schemas.openxmlformats.org/officeDocument/2006/relationships/hyperlink" Target="https://en.wikipedia.org/wiki/Estonia_at_the_2026_Winter_Olympics" TargetMode="External"/><Relationship Id="rId32" Type="http://schemas.openxmlformats.org/officeDocument/2006/relationships/hyperlink" Target="https://en.wikipedia.org/wiki/Haiti_at_the_2026_Winter_Olympics" TargetMode="External"/><Relationship Id="rId37" Type="http://schemas.openxmlformats.org/officeDocument/2006/relationships/hyperlink" Target="https://en.wikipedia.org/wiki/Individual_Neutral_Athletes_at_the_2026_Winter_Olympics" TargetMode="External"/><Relationship Id="rId40" Type="http://schemas.openxmlformats.org/officeDocument/2006/relationships/hyperlink" Target="https://en.wikipedia.org/wiki/Israel_at_the_2026_Winter_Olympics" TargetMode="External"/><Relationship Id="rId45" Type="http://schemas.openxmlformats.org/officeDocument/2006/relationships/hyperlink" Target="https://en.wikipedia.org/wiki/Kenya_at_the_2026_Winter_Olympics" TargetMode="External"/><Relationship Id="rId53" Type="http://schemas.openxmlformats.org/officeDocument/2006/relationships/hyperlink" Target="https://en.wikipedia.org/wiki/Madagascar_at_the_2026_Winter_Olympics" TargetMode="External"/><Relationship Id="rId58" Type="http://schemas.openxmlformats.org/officeDocument/2006/relationships/hyperlink" Target="https://en.wikipedia.org/wiki/Monaco_at_the_2026_Winter_Olympics" TargetMode="External"/><Relationship Id="rId66" Type="http://schemas.openxmlformats.org/officeDocument/2006/relationships/hyperlink" Target="https://en.wikipedia.org/wiki/Norway_at_the_2026_Winter_Olympics" TargetMode="External"/><Relationship Id="rId74" Type="http://schemas.openxmlformats.org/officeDocument/2006/relationships/hyperlink" Target="https://en.wikipedia.org/wiki/Serbia_at_the_2026_Winter_Olympics" TargetMode="External"/><Relationship Id="rId79" Type="http://schemas.openxmlformats.org/officeDocument/2006/relationships/hyperlink" Target="https://en.wikipedia.org/wiki/South_Korea_at_the_2026_Winter_Olympics" TargetMode="External"/><Relationship Id="rId87" Type="http://schemas.openxmlformats.org/officeDocument/2006/relationships/hyperlink" Target="https://en.wikipedia.org/wiki/Ukraine_at_the_2026_Winter_Olympics" TargetMode="External"/><Relationship Id="rId5" Type="http://schemas.openxmlformats.org/officeDocument/2006/relationships/hyperlink" Target="https://en.wikipedia.org/wiki/Australia_at_the_2026_Winter_Olympics" TargetMode="External"/><Relationship Id="rId61" Type="http://schemas.openxmlformats.org/officeDocument/2006/relationships/hyperlink" Target="https://en.wikipedia.org/wiki/Morocco_at_the_2026_Winter_Olympics" TargetMode="External"/><Relationship Id="rId82" Type="http://schemas.openxmlformats.org/officeDocument/2006/relationships/hyperlink" Target="https://en.wikipedia.org/wiki/Switzerland_at_the_2026_Winter_Olympics" TargetMode="External"/><Relationship Id="rId90" Type="http://schemas.openxmlformats.org/officeDocument/2006/relationships/hyperlink" Target="https://en.wikipedia.org/wiki/Uruguay_at_the_2026_Winter_Olympics" TargetMode="External"/><Relationship Id="rId19" Type="http://schemas.openxmlformats.org/officeDocument/2006/relationships/hyperlink" Target="https://en.wikipedia.org/wiki/Cyprus_at_the_2026_Winter_Olympics" TargetMode="External"/><Relationship Id="rId14" Type="http://schemas.openxmlformats.org/officeDocument/2006/relationships/hyperlink" Target="https://en.wikipedia.org/wiki/Canada_at_the_2026_Winter_Olympics" TargetMode="External"/><Relationship Id="rId22" Type="http://schemas.openxmlformats.org/officeDocument/2006/relationships/hyperlink" Target="https://en.wikipedia.org/wiki/Ecuador_at_the_2026_Winter_Olympics" TargetMode="External"/><Relationship Id="rId27" Type="http://schemas.openxmlformats.org/officeDocument/2006/relationships/hyperlink" Target="https://en.wikipedia.org/wiki/Georgia_at_the_2026_Winter_Olympics" TargetMode="External"/><Relationship Id="rId30" Type="http://schemas.openxmlformats.org/officeDocument/2006/relationships/hyperlink" Target="https://en.wikipedia.org/wiki/Greece_at_the_2026_Winter_Olympics" TargetMode="External"/><Relationship Id="rId35" Type="http://schemas.openxmlformats.org/officeDocument/2006/relationships/hyperlink" Target="https://en.wikipedia.org/wiki/Iceland_at_the_2026_Winter_Olympics" TargetMode="External"/><Relationship Id="rId43" Type="http://schemas.openxmlformats.org/officeDocument/2006/relationships/hyperlink" Target="https://en.wikipedia.org/wiki/Japan_at_the_2026_Winter_Olympics" TargetMode="External"/><Relationship Id="rId48" Type="http://schemas.openxmlformats.org/officeDocument/2006/relationships/hyperlink" Target="https://en.wikipedia.org/wiki/Latvia_at_the_2026_Winter_Olympics" TargetMode="External"/><Relationship Id="rId56" Type="http://schemas.openxmlformats.org/officeDocument/2006/relationships/hyperlink" Target="https://en.wikipedia.org/wiki/Mexico_at_the_2026_Winter_Olympics" TargetMode="External"/><Relationship Id="rId64" Type="http://schemas.openxmlformats.org/officeDocument/2006/relationships/hyperlink" Target="https://en.wikipedia.org/wiki/Nigeria_at_the_2026_Winter_Olympics" TargetMode="External"/><Relationship Id="rId69" Type="http://schemas.openxmlformats.org/officeDocument/2006/relationships/hyperlink" Target="https://en.wikipedia.org/wiki/Poland_at_the_2026_Winter_Olympics" TargetMode="External"/><Relationship Id="rId77" Type="http://schemas.openxmlformats.org/officeDocument/2006/relationships/hyperlink" Target="https://en.wikipedia.org/wiki/Slovenia_at_the_2026_Winter_Olympics" TargetMode="External"/><Relationship Id="rId8" Type="http://schemas.openxmlformats.org/officeDocument/2006/relationships/hyperlink" Target="https://en.wikipedia.org/wiki/Belgium_at_the_2026_Winter_Olympics" TargetMode="External"/><Relationship Id="rId51" Type="http://schemas.openxmlformats.org/officeDocument/2006/relationships/hyperlink" Target="https://en.wikipedia.org/wiki/Lithuania_at_the_2026_Winter_Olympics" TargetMode="External"/><Relationship Id="rId72" Type="http://schemas.openxmlformats.org/officeDocument/2006/relationships/hyperlink" Target="https://en.wikipedia.org/wiki/San_Marino_at_the_2026_Winter_Olympics" TargetMode="External"/><Relationship Id="rId80" Type="http://schemas.openxmlformats.org/officeDocument/2006/relationships/hyperlink" Target="https://en.wikipedia.org/wiki/Spain_at_the_2026_Winter_Olympics" TargetMode="External"/><Relationship Id="rId85" Type="http://schemas.openxmlformats.org/officeDocument/2006/relationships/hyperlink" Target="https://en.wikipedia.org/wiki/Trinidad_and_Tobago_at_the_2026_Winter_Olympics" TargetMode="External"/><Relationship Id="rId93" Type="http://schemas.openxmlformats.org/officeDocument/2006/relationships/drawing" Target="../drawings/drawing1.xml"/><Relationship Id="rId3" Type="http://schemas.openxmlformats.org/officeDocument/2006/relationships/hyperlink" Target="https://en.wikipedia.org/wiki/Argentina_at_the_2026_Winter_Olympics" TargetMode="External"/><Relationship Id="rId12" Type="http://schemas.openxmlformats.org/officeDocument/2006/relationships/hyperlink" Target="https://en.wikipedia.org/wiki/Brazil_at_the_2026_Winter_Olympics" TargetMode="External"/><Relationship Id="rId17" Type="http://schemas.openxmlformats.org/officeDocument/2006/relationships/hyperlink" Target="https://en.wikipedia.org/wiki/Colombia_at_the_2026_Winter_Olympics" TargetMode="External"/><Relationship Id="rId25" Type="http://schemas.openxmlformats.org/officeDocument/2006/relationships/hyperlink" Target="https://en.wikipedia.org/wiki/Finland_at_the_2026_Winter_Olympics" TargetMode="External"/><Relationship Id="rId33" Type="http://schemas.openxmlformats.org/officeDocument/2006/relationships/hyperlink" Target="https://en.wikipedia.org/wiki/Hong_Kong_at_the_2026_Winter_Olympics" TargetMode="External"/><Relationship Id="rId38" Type="http://schemas.openxmlformats.org/officeDocument/2006/relationships/hyperlink" Target="https://en.wikipedia.org/wiki/Iran_at_the_2026_Winter_Olympics" TargetMode="External"/><Relationship Id="rId46" Type="http://schemas.openxmlformats.org/officeDocument/2006/relationships/hyperlink" Target="https://en.wikipedia.org/wiki/Kosovo_at_the_2026_Winter_Olympics" TargetMode="External"/><Relationship Id="rId59" Type="http://schemas.openxmlformats.org/officeDocument/2006/relationships/hyperlink" Target="https://en.wikipedia.org/wiki/Mongolia_at_the_2026_Winter_Olympics" TargetMode="External"/><Relationship Id="rId67" Type="http://schemas.openxmlformats.org/officeDocument/2006/relationships/hyperlink" Target="https://en.wikipedia.org/wiki/Pakistan_at_the_2026_Winter_Olympics" TargetMode="External"/><Relationship Id="rId20" Type="http://schemas.openxmlformats.org/officeDocument/2006/relationships/hyperlink" Target="https://en.wikipedia.org/wiki/Czech_Republic_at_the_2026_Winter_Olympics" TargetMode="External"/><Relationship Id="rId41" Type="http://schemas.openxmlformats.org/officeDocument/2006/relationships/hyperlink" Target="https://en.wikipedia.org/wiki/Italy_at_the_2026_Winter_Olympics" TargetMode="External"/><Relationship Id="rId54" Type="http://schemas.openxmlformats.org/officeDocument/2006/relationships/hyperlink" Target="https://en.wikipedia.org/wiki/Malaysia_at_the_2026_Winter_Olympics" TargetMode="External"/><Relationship Id="rId62" Type="http://schemas.openxmlformats.org/officeDocument/2006/relationships/hyperlink" Target="https://en.wikipedia.org/wiki/Netherlands_at_the_2026_Winter_Olympics" TargetMode="External"/><Relationship Id="rId70" Type="http://schemas.openxmlformats.org/officeDocument/2006/relationships/hyperlink" Target="https://en.wikipedia.org/wiki/Portugal_at_the_2026_Winter_Olympics" TargetMode="External"/><Relationship Id="rId75" Type="http://schemas.openxmlformats.org/officeDocument/2006/relationships/hyperlink" Target="https://en.wikipedia.org/wiki/Singapore_at_the_2026_Winter_Olympics" TargetMode="External"/><Relationship Id="rId83" Type="http://schemas.openxmlformats.org/officeDocument/2006/relationships/hyperlink" Target="https://en.wikipedia.org/wiki/Chinese_Taipei_at_the_2026_Winter_Olympics" TargetMode="External"/><Relationship Id="rId88" Type="http://schemas.openxmlformats.org/officeDocument/2006/relationships/hyperlink" Target="https://en.wikipedia.org/wiki/United_Arab_Emirates_at_the_2026_Winter_Olympics" TargetMode="External"/><Relationship Id="rId91" Type="http://schemas.openxmlformats.org/officeDocument/2006/relationships/hyperlink" Target="https://en.wikipedia.org/wiki/Uzbekistan_at_the_2026_Winter_Olympics" TargetMode="External"/><Relationship Id="rId1" Type="http://schemas.openxmlformats.org/officeDocument/2006/relationships/hyperlink" Target="https://en.wikipedia.org/wiki/Albania_at_the_2026_Winter_Olympics" TargetMode="External"/><Relationship Id="rId6" Type="http://schemas.openxmlformats.org/officeDocument/2006/relationships/hyperlink" Target="https://en.wikipedia.org/wiki/Austria_at_the_2026_Winter_Olympics" TargetMode="External"/><Relationship Id="rId15" Type="http://schemas.openxmlformats.org/officeDocument/2006/relationships/hyperlink" Target="https://en.wikipedia.org/wiki/Chile_at_the_2026_Winter_Olympics" TargetMode="External"/><Relationship Id="rId23" Type="http://schemas.openxmlformats.org/officeDocument/2006/relationships/hyperlink" Target="https://en.wikipedia.org/wiki/Eritrea_at_the_2026_Winter_Olympics" TargetMode="External"/><Relationship Id="rId28" Type="http://schemas.openxmlformats.org/officeDocument/2006/relationships/hyperlink" Target="https://en.wikipedia.org/wiki/Germany_at_the_2026_Winter_Olympics" TargetMode="External"/><Relationship Id="rId36" Type="http://schemas.openxmlformats.org/officeDocument/2006/relationships/hyperlink" Target="https://en.wikipedia.org/wiki/India_at_the_2026_Winter_Olympics" TargetMode="External"/><Relationship Id="rId49" Type="http://schemas.openxmlformats.org/officeDocument/2006/relationships/hyperlink" Target="https://en.wikipedia.org/wiki/Lebanon_at_the_2026_Winter_Olympics" TargetMode="External"/><Relationship Id="rId57" Type="http://schemas.openxmlformats.org/officeDocument/2006/relationships/hyperlink" Target="https://en.wikipedia.org/wiki/Moldova_at_the_2026_Winter_Olympics" TargetMode="External"/><Relationship Id="rId10" Type="http://schemas.openxmlformats.org/officeDocument/2006/relationships/hyperlink" Target="https://en.wikipedia.org/wiki/Bolivia_at_the_2026_Winter_Olympics" TargetMode="External"/><Relationship Id="rId31" Type="http://schemas.openxmlformats.org/officeDocument/2006/relationships/hyperlink" Target="https://en.wikipedia.org/wiki/Guinea-Bissau_at_the_2026_Winter_Olympics" TargetMode="External"/><Relationship Id="rId44" Type="http://schemas.openxmlformats.org/officeDocument/2006/relationships/hyperlink" Target="https://en.wikipedia.org/wiki/Kazakhstan_at_the_2026_Winter_Olympics" TargetMode="External"/><Relationship Id="rId52" Type="http://schemas.openxmlformats.org/officeDocument/2006/relationships/hyperlink" Target="https://en.wikipedia.org/wiki/Luxembourg_at_the_2026_Winter_Olympics" TargetMode="External"/><Relationship Id="rId60" Type="http://schemas.openxmlformats.org/officeDocument/2006/relationships/hyperlink" Target="https://en.wikipedia.org/wiki/Montenegro_at_the_2026_Winter_Olympics" TargetMode="External"/><Relationship Id="rId65" Type="http://schemas.openxmlformats.org/officeDocument/2006/relationships/hyperlink" Target="https://en.wikipedia.org/wiki/North_Macedonia_at_the_2026_Winter_Olympics" TargetMode="External"/><Relationship Id="rId73" Type="http://schemas.openxmlformats.org/officeDocument/2006/relationships/hyperlink" Target="https://en.wikipedia.org/wiki/Saudi_Arabia_at_the_2026_Winter_Olympics" TargetMode="External"/><Relationship Id="rId78" Type="http://schemas.openxmlformats.org/officeDocument/2006/relationships/hyperlink" Target="https://en.wikipedia.org/wiki/South_Africa_at_the_2026_Winter_Olympics" TargetMode="External"/><Relationship Id="rId81" Type="http://schemas.openxmlformats.org/officeDocument/2006/relationships/hyperlink" Target="https://en.wikipedia.org/wiki/Sweden_at_the_2026_Winter_Olympics" TargetMode="External"/><Relationship Id="rId86" Type="http://schemas.openxmlformats.org/officeDocument/2006/relationships/hyperlink" Target="https://en.wikipedia.org/wiki/Turkey_at_the_2026_Winter_Olympics" TargetMode="External"/><Relationship Id="rId4" Type="http://schemas.openxmlformats.org/officeDocument/2006/relationships/hyperlink" Target="https://en.wikipedia.org/wiki/Armenia_at_the_2026_Winter_Olympics" TargetMode="External"/><Relationship Id="rId9" Type="http://schemas.openxmlformats.org/officeDocument/2006/relationships/hyperlink" Target="https://en.wikipedia.org/w/index.php?title=Benin_at_the_2026_Winter_Olympics&amp;action=edit&amp;redlink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8F82-7A28-4C1E-8460-54FF1E28F9AC}">
  <dimension ref="A1:B24"/>
  <sheetViews>
    <sheetView tabSelected="1" workbookViewId="0">
      <selection activeCell="D24" sqref="D24"/>
    </sheetView>
  </sheetViews>
  <sheetFormatPr defaultRowHeight="14.25" x14ac:dyDescent="0.2"/>
  <cols>
    <col min="1" max="1" width="56.375" customWidth="1"/>
  </cols>
  <sheetData>
    <row r="1" spans="1:2" x14ac:dyDescent="0.2">
      <c r="A1" t="s">
        <v>242</v>
      </c>
      <c r="B1" t="s">
        <v>243</v>
      </c>
    </row>
    <row r="2" spans="1:2" x14ac:dyDescent="0.2">
      <c r="A2" t="s">
        <v>257</v>
      </c>
      <c r="B2">
        <f>Events!U95</f>
        <v>42</v>
      </c>
    </row>
    <row r="3" spans="1:2" x14ac:dyDescent="0.2">
      <c r="A3" t="s">
        <v>267</v>
      </c>
      <c r="B3">
        <f>Events!Y95</f>
        <v>41</v>
      </c>
    </row>
    <row r="4" spans="1:2" x14ac:dyDescent="0.2">
      <c r="A4" t="s">
        <v>260</v>
      </c>
      <c r="B4">
        <f>Events!AI95</f>
        <v>36</v>
      </c>
    </row>
    <row r="5" spans="1:2" x14ac:dyDescent="0.2">
      <c r="A5" t="s">
        <v>256</v>
      </c>
      <c r="B5">
        <f>Events!N95</f>
        <v>29</v>
      </c>
    </row>
    <row r="6" spans="1:2" x14ac:dyDescent="0.2">
      <c r="A6" t="s">
        <v>245</v>
      </c>
      <c r="B6">
        <f>Events!W95</f>
        <v>38</v>
      </c>
    </row>
    <row r="7" spans="1:2" x14ac:dyDescent="0.2">
      <c r="A7" t="s">
        <v>261</v>
      </c>
      <c r="B7">
        <f>Events!O95</f>
        <v>37</v>
      </c>
    </row>
    <row r="8" spans="1:2" x14ac:dyDescent="0.2">
      <c r="A8" t="s">
        <v>258</v>
      </c>
      <c r="B8">
        <f>Events!AH95</f>
        <v>35</v>
      </c>
    </row>
    <row r="9" spans="1:2" x14ac:dyDescent="0.2">
      <c r="A9" t="s">
        <v>251</v>
      </c>
      <c r="B9">
        <f>Events!Q95</f>
        <v>37</v>
      </c>
    </row>
    <row r="10" spans="1:2" x14ac:dyDescent="0.2">
      <c r="A10" t="s">
        <v>262</v>
      </c>
      <c r="B10">
        <f>Events!S95</f>
        <v>32</v>
      </c>
    </row>
    <row r="11" spans="1:2" x14ac:dyDescent="0.2">
      <c r="A11" t="s">
        <v>263</v>
      </c>
      <c r="B11">
        <f>Events!R95</f>
        <v>33</v>
      </c>
    </row>
    <row r="12" spans="1:2" x14ac:dyDescent="0.2">
      <c r="A12" t="s">
        <v>264</v>
      </c>
      <c r="B12">
        <f>Events!AF95</f>
        <v>32</v>
      </c>
    </row>
    <row r="13" spans="1:2" x14ac:dyDescent="0.2">
      <c r="A13" t="s">
        <v>265</v>
      </c>
      <c r="B13">
        <f>Events!X95</f>
        <v>23</v>
      </c>
    </row>
    <row r="14" spans="1:2" x14ac:dyDescent="0.2">
      <c r="A14" t="s">
        <v>244</v>
      </c>
      <c r="B14">
        <f>Events!AE95</f>
        <v>34</v>
      </c>
    </row>
    <row r="15" spans="1:2" x14ac:dyDescent="0.2">
      <c r="A15" t="s">
        <v>249</v>
      </c>
      <c r="B15">
        <f>Events!AB95</f>
        <v>25</v>
      </c>
    </row>
    <row r="16" spans="1:2" x14ac:dyDescent="0.2">
      <c r="A16" t="s">
        <v>248</v>
      </c>
      <c r="B16">
        <f>Events!AD95</f>
        <v>25</v>
      </c>
    </row>
    <row r="17" spans="1:2" x14ac:dyDescent="0.2">
      <c r="A17" t="s">
        <v>259</v>
      </c>
      <c r="B17">
        <f>Events!AG95</f>
        <v>21</v>
      </c>
    </row>
    <row r="18" spans="1:2" x14ac:dyDescent="0.2">
      <c r="A18" t="s">
        <v>246</v>
      </c>
      <c r="B18">
        <f>Events!AA95</f>
        <v>28</v>
      </c>
    </row>
    <row r="19" spans="1:2" x14ac:dyDescent="0.2">
      <c r="A19" t="s">
        <v>247</v>
      </c>
      <c r="B19">
        <f>Events!AC95</f>
        <v>28</v>
      </c>
    </row>
    <row r="20" spans="1:2" x14ac:dyDescent="0.2">
      <c r="A20" t="s">
        <v>254</v>
      </c>
      <c r="B20">
        <f>Events!P95</f>
        <v>19</v>
      </c>
    </row>
    <row r="21" spans="1:2" x14ac:dyDescent="0.2">
      <c r="A21" t="s">
        <v>252</v>
      </c>
      <c r="B21">
        <f>Events!V95</f>
        <v>24</v>
      </c>
    </row>
    <row r="22" spans="1:2" x14ac:dyDescent="0.2">
      <c r="A22" t="s">
        <v>253</v>
      </c>
      <c r="B22">
        <f>Events!T95</f>
        <v>12</v>
      </c>
    </row>
    <row r="23" spans="1:2" x14ac:dyDescent="0.2">
      <c r="A23" t="s">
        <v>255</v>
      </c>
      <c r="B23">
        <f>Events!M95</f>
        <v>19</v>
      </c>
    </row>
    <row r="24" spans="1:2" x14ac:dyDescent="0.2">
      <c r="A24" t="s">
        <v>250</v>
      </c>
      <c r="B24">
        <f>Events!Z95</f>
        <v>19</v>
      </c>
    </row>
  </sheetData>
  <autoFilter ref="A1:B1" xr:uid="{73278F82-7A28-4C1E-8460-54FF1E28F9AC}">
    <sortState xmlns:xlrd2="http://schemas.microsoft.com/office/spreadsheetml/2017/richdata2" ref="A2:B24">
      <sortCondition descending="1" ref="B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6FAC-27B6-471F-BECD-93C99C8065B1}">
  <dimension ref="A1:AI95"/>
  <sheetViews>
    <sheetView workbookViewId="0">
      <pane xSplit="12" ySplit="1" topLeftCell="U56" activePane="bottomRight" state="frozen"/>
      <selection pane="topRight" activeCell="M1" sqref="M1"/>
      <selection pane="bottomLeft" activeCell="A2" sqref="A2"/>
      <selection pane="bottomRight" activeCell="A27" sqref="A27:XFD27"/>
    </sheetView>
  </sheetViews>
  <sheetFormatPr defaultRowHeight="14.25" x14ac:dyDescent="0.2"/>
  <cols>
    <col min="1" max="2" width="19.5" bestFit="1" customWidth="1"/>
    <col min="3" max="3" width="19.5" customWidth="1"/>
    <col min="4" max="4" width="9.125" bestFit="1" customWidth="1"/>
    <col min="5" max="5" width="9.875" bestFit="1" customWidth="1"/>
    <col min="6" max="6" width="11.25" bestFit="1" customWidth="1"/>
    <col min="7" max="7" width="4.75" bestFit="1" customWidth="1"/>
    <col min="8" max="8" width="15.625" bestFit="1" customWidth="1"/>
    <col min="9" max="9" width="9.125" bestFit="1" customWidth="1"/>
    <col min="10" max="10" width="9.875" bestFit="1" customWidth="1"/>
    <col min="11" max="11" width="11.25" bestFit="1" customWidth="1"/>
    <col min="12" max="12" width="10.5" bestFit="1" customWidth="1"/>
    <col min="13" max="13" width="20" customWidth="1"/>
    <col min="14" max="14" width="15.75" customWidth="1"/>
    <col min="15" max="15" width="18" customWidth="1"/>
  </cols>
  <sheetData>
    <row r="1" spans="1:35" x14ac:dyDescent="0.2">
      <c r="A1" t="s">
        <v>237</v>
      </c>
      <c r="B1" t="s">
        <v>237</v>
      </c>
      <c r="C1" t="s">
        <v>239</v>
      </c>
      <c r="D1" s="4" t="s">
        <v>93</v>
      </c>
      <c r="E1" s="6" t="s">
        <v>94</v>
      </c>
      <c r="F1" s="2" t="s">
        <v>95</v>
      </c>
      <c r="G1" s="8" t="s">
        <v>96</v>
      </c>
      <c r="H1" t="s">
        <v>92</v>
      </c>
      <c r="I1" t="s">
        <v>97</v>
      </c>
      <c r="J1" t="s">
        <v>98</v>
      </c>
      <c r="K1" t="s">
        <v>99</v>
      </c>
      <c r="L1" t="s">
        <v>101</v>
      </c>
      <c r="M1" t="s">
        <v>102</v>
      </c>
      <c r="N1" t="s">
        <v>103</v>
      </c>
      <c r="O1" t="s">
        <v>109</v>
      </c>
      <c r="P1" t="s">
        <v>111</v>
      </c>
      <c r="Q1" s="10" t="s">
        <v>112</v>
      </c>
      <c r="R1" t="s">
        <v>114</v>
      </c>
      <c r="S1" t="s">
        <v>115</v>
      </c>
      <c r="T1" t="s">
        <v>116</v>
      </c>
      <c r="U1" t="s">
        <v>117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126</v>
      </c>
      <c r="AB1" t="s">
        <v>127</v>
      </c>
      <c r="AC1" t="s">
        <v>130</v>
      </c>
      <c r="AD1" t="s">
        <v>131</v>
      </c>
      <c r="AE1" t="s">
        <v>240</v>
      </c>
      <c r="AF1" t="s">
        <v>241</v>
      </c>
      <c r="AG1" t="s">
        <v>133</v>
      </c>
      <c r="AH1" t="s">
        <v>134</v>
      </c>
      <c r="AI1" t="s">
        <v>136</v>
      </c>
    </row>
    <row r="2" spans="1:35" x14ac:dyDescent="0.2">
      <c r="A2" s="1" t="s">
        <v>0</v>
      </c>
      <c r="B2" t="s">
        <v>141</v>
      </c>
      <c r="C2">
        <f>MATCH(Events!B2,'Medal Count'!C:C,0)</f>
        <v>3</v>
      </c>
      <c r="D2" s="5"/>
      <c r="E2" s="7"/>
      <c r="F2" s="3"/>
      <c r="G2" s="9">
        <f>IF(SUM((D2*3)+(E2*2)+(F2*1))&gt;0,SUM((D2*3)+(E2*2)+(F2*1)),3)</f>
        <v>3</v>
      </c>
      <c r="H2">
        <v>2</v>
      </c>
      <c r="I2" cm="1">
        <f t="array" ref="I2">INDEX('Medal Count'!D:D,Events!$C2)</f>
        <v>0</v>
      </c>
      <c r="J2" cm="1">
        <f t="array" ref="J2">INDEX('Medal Count'!E:E,Events!$C2)</f>
        <v>0</v>
      </c>
      <c r="K2" cm="1">
        <f t="array" ref="K2">INDEX('Medal Count'!F:F,Events!$C2)</f>
        <v>0</v>
      </c>
      <c r="L2">
        <f>(I2*3*2)+(J2*2*2)+(K2*1*2)</f>
        <v>0</v>
      </c>
    </row>
    <row r="3" spans="1:35" x14ac:dyDescent="0.2">
      <c r="A3" s="1" t="s">
        <v>1</v>
      </c>
      <c r="B3" t="s">
        <v>142</v>
      </c>
      <c r="C3">
        <f>MATCH(Events!B3,'Medal Count'!C:C,0)</f>
        <v>4</v>
      </c>
      <c r="D3" s="5"/>
      <c r="E3" s="7"/>
      <c r="F3" s="3"/>
      <c r="G3" s="9">
        <f t="shared" ref="G3:G66" si="0">IF(SUM((D3*3)+(E3*2)+(F3*1))&gt;0,SUM((D3*3)+(E3*2)+(F3*1)),3)</f>
        <v>3</v>
      </c>
      <c r="H3">
        <v>6</v>
      </c>
      <c r="I3" cm="1">
        <f t="array" ref="I3">INDEX('Medal Count'!D:D,Events!$C3)</f>
        <v>0</v>
      </c>
      <c r="J3" cm="1">
        <f t="array" ref="J3">INDEX('Medal Count'!E:E,Events!$C3)</f>
        <v>0</v>
      </c>
      <c r="K3" cm="1">
        <f t="array" ref="K3">INDEX('Medal Count'!F:F,Events!$C3)</f>
        <v>0</v>
      </c>
      <c r="L3">
        <f t="shared" ref="L3:L5" si="1">(I3*3*2)+(J3*2*2)+(K3*1*2)</f>
        <v>0</v>
      </c>
    </row>
    <row r="4" spans="1:35" x14ac:dyDescent="0.2">
      <c r="A4" s="1" t="s">
        <v>2</v>
      </c>
      <c r="B4" t="s">
        <v>143</v>
      </c>
      <c r="C4">
        <f>MATCH(Events!B4,'Medal Count'!C:C,0)</f>
        <v>5</v>
      </c>
      <c r="D4" s="5"/>
      <c r="E4" s="7"/>
      <c r="F4" s="3"/>
      <c r="G4" s="9">
        <f t="shared" si="0"/>
        <v>3</v>
      </c>
      <c r="H4">
        <v>6</v>
      </c>
      <c r="I4" cm="1">
        <f t="array" ref="I4">INDEX('Medal Count'!D:D,Events!$C4)</f>
        <v>0</v>
      </c>
      <c r="J4" cm="1">
        <f t="array" ref="J4">INDEX('Medal Count'!E:E,Events!$C4)</f>
        <v>0</v>
      </c>
      <c r="K4" cm="1">
        <f t="array" ref="K4">INDEX('Medal Count'!F:F,Events!$C4)</f>
        <v>0</v>
      </c>
      <c r="L4">
        <f t="shared" si="1"/>
        <v>0</v>
      </c>
      <c r="AI4">
        <v>1</v>
      </c>
    </row>
    <row r="5" spans="1:35" x14ac:dyDescent="0.2">
      <c r="A5" s="1" t="s">
        <v>3</v>
      </c>
      <c r="B5" t="s">
        <v>144</v>
      </c>
      <c r="C5">
        <f>MATCH(Events!B5,'Medal Count'!C:C,0)</f>
        <v>6</v>
      </c>
      <c r="D5" s="5"/>
      <c r="E5" s="7"/>
      <c r="F5" s="3"/>
      <c r="G5" s="9">
        <f t="shared" si="0"/>
        <v>3</v>
      </c>
      <c r="H5">
        <v>6</v>
      </c>
      <c r="I5" cm="1">
        <f t="array" ref="I5">INDEX('Medal Count'!D:D,Events!$C5)</f>
        <v>0</v>
      </c>
      <c r="J5" cm="1">
        <f t="array" ref="J5">INDEX('Medal Count'!E:E,Events!$C5)</f>
        <v>0</v>
      </c>
      <c r="K5" cm="1">
        <f t="array" ref="K5">INDEX('Medal Count'!F:F,Events!$C5)</f>
        <v>0</v>
      </c>
      <c r="L5">
        <f t="shared" si="1"/>
        <v>0</v>
      </c>
    </row>
    <row r="6" spans="1:35" x14ac:dyDescent="0.2">
      <c r="A6" s="1" t="s">
        <v>4</v>
      </c>
      <c r="B6" t="s">
        <v>145</v>
      </c>
      <c r="C6">
        <f>MATCH(Events!B6,'Medal Count'!C:C,0)</f>
        <v>7</v>
      </c>
      <c r="D6" s="5">
        <v>1</v>
      </c>
      <c r="E6" s="7">
        <v>2</v>
      </c>
      <c r="F6" s="3">
        <v>1</v>
      </c>
      <c r="G6" s="9">
        <f t="shared" si="0"/>
        <v>8</v>
      </c>
      <c r="H6">
        <v>17</v>
      </c>
      <c r="I6" cm="1">
        <f t="array" ref="I6">INDEX('Medal Count'!D:D,Events!$C6)</f>
        <v>0</v>
      </c>
      <c r="J6" cm="1">
        <f t="array" ref="J6">INDEX('Medal Count'!E:E,Events!$C6)</f>
        <v>0</v>
      </c>
      <c r="K6" cm="1">
        <f t="array" ref="K6">INDEX('Medal Count'!F:F,Events!$C6)</f>
        <v>0</v>
      </c>
      <c r="L6">
        <f>SUM((I6*3)+(J6*2)+(K6*1))</f>
        <v>0</v>
      </c>
      <c r="X6">
        <v>1</v>
      </c>
    </row>
    <row r="7" spans="1:35" x14ac:dyDescent="0.2">
      <c r="A7" s="1" t="s">
        <v>5</v>
      </c>
      <c r="B7" t="s">
        <v>146</v>
      </c>
      <c r="C7">
        <f>MATCH(Events!B7,'Medal Count'!C:C,0)</f>
        <v>8</v>
      </c>
      <c r="D7" s="5">
        <v>7</v>
      </c>
      <c r="E7" s="7">
        <v>7</v>
      </c>
      <c r="F7" s="3">
        <v>4</v>
      </c>
      <c r="G7" s="9">
        <f t="shared" si="0"/>
        <v>39</v>
      </c>
      <c r="H7">
        <v>32</v>
      </c>
      <c r="I7" cm="1">
        <f t="array" ref="I7">INDEX('Medal Count'!D:D,Events!$C7)</f>
        <v>2</v>
      </c>
      <c r="J7" cm="1">
        <f t="array" ref="J7">INDEX('Medal Count'!E:E,Events!$C7)</f>
        <v>4</v>
      </c>
      <c r="K7" cm="1">
        <f t="array" ref="K7">INDEX('Medal Count'!F:F,Events!$C7)</f>
        <v>0</v>
      </c>
      <c r="L7">
        <f>SUM((I7*3)+(J7*2)+(K7*1))</f>
        <v>14</v>
      </c>
      <c r="U7">
        <v>1</v>
      </c>
      <c r="X7">
        <v>1</v>
      </c>
      <c r="AB7">
        <v>1</v>
      </c>
    </row>
    <row r="8" spans="1:35" x14ac:dyDescent="0.2">
      <c r="A8" s="1" t="s">
        <v>6</v>
      </c>
      <c r="B8" t="s">
        <v>147</v>
      </c>
      <c r="C8">
        <f>MATCH(Events!B8,'Medal Count'!C:C,0)</f>
        <v>9</v>
      </c>
      <c r="D8" s="5"/>
      <c r="E8" s="7"/>
      <c r="F8" s="3"/>
      <c r="G8" s="9">
        <f t="shared" si="0"/>
        <v>3</v>
      </c>
      <c r="H8">
        <v>2</v>
      </c>
      <c r="I8" cm="1">
        <f t="array" ref="I8">INDEX('Medal Count'!D:D,Events!$C8)</f>
        <v>0</v>
      </c>
      <c r="J8" cm="1">
        <f t="array" ref="J8">INDEX('Medal Count'!E:E,Events!$C8)</f>
        <v>0</v>
      </c>
      <c r="K8" cm="1">
        <f t="array" ref="K8">INDEX('Medal Count'!F:F,Events!$C8)</f>
        <v>0</v>
      </c>
      <c r="L8">
        <f>(I8*3*2)+(J8*2*2)+(K8*1*2)</f>
        <v>0</v>
      </c>
    </row>
    <row r="9" spans="1:35" x14ac:dyDescent="0.2">
      <c r="A9" s="1" t="s">
        <v>7</v>
      </c>
      <c r="B9" t="s">
        <v>148</v>
      </c>
      <c r="C9">
        <f>MATCH(Events!B9,'Medal Count'!C:C,0)</f>
        <v>10</v>
      </c>
      <c r="D9" s="5">
        <v>1</v>
      </c>
      <c r="E9" s="7">
        <v>0</v>
      </c>
      <c r="F9" s="3">
        <v>1</v>
      </c>
      <c r="G9" s="9">
        <f t="shared" si="0"/>
        <v>4</v>
      </c>
      <c r="H9">
        <v>26</v>
      </c>
      <c r="I9" cm="1">
        <f t="array" ref="I9">INDEX('Medal Count'!D:D,Events!$C9)</f>
        <v>0</v>
      </c>
      <c r="J9" cm="1">
        <f t="array" ref="J9">INDEX('Medal Count'!E:E,Events!$C9)</f>
        <v>0</v>
      </c>
      <c r="K9" cm="1">
        <f t="array" ref="K9">INDEX('Medal Count'!F:F,Events!$C9)</f>
        <v>1</v>
      </c>
      <c r="L9">
        <f>SUM((I9*3)+(J9*2)+(K9*1))</f>
        <v>1</v>
      </c>
      <c r="Q9">
        <v>1</v>
      </c>
      <c r="R9">
        <v>1</v>
      </c>
      <c r="X9">
        <v>1</v>
      </c>
    </row>
    <row r="10" spans="1:35" x14ac:dyDescent="0.2">
      <c r="A10" s="1" t="s">
        <v>8</v>
      </c>
      <c r="B10" t="s">
        <v>149</v>
      </c>
      <c r="C10">
        <f>MATCH(Events!B10,'Medal Count'!C:C,0)</f>
        <v>11</v>
      </c>
      <c r="D10" s="5"/>
      <c r="E10" s="7"/>
      <c r="F10" s="3"/>
      <c r="G10" s="9">
        <f t="shared" si="0"/>
        <v>3</v>
      </c>
      <c r="H10">
        <v>1</v>
      </c>
      <c r="I10" cm="1">
        <f t="array" ref="I10">INDEX('Medal Count'!D:D,Events!$C10)</f>
        <v>0</v>
      </c>
      <c r="J10" cm="1">
        <f t="array" ref="J10">INDEX('Medal Count'!E:E,Events!$C10)</f>
        <v>0</v>
      </c>
      <c r="K10" cm="1">
        <f t="array" ref="K10">INDEX('Medal Count'!F:F,Events!$C10)</f>
        <v>0</v>
      </c>
      <c r="L10">
        <f t="shared" ref="L10:L14" si="2">(I10*3*2)+(J10*2*2)+(K10*1*2)</f>
        <v>0</v>
      </c>
    </row>
    <row r="11" spans="1:35" x14ac:dyDescent="0.2">
      <c r="A11" s="1" t="s">
        <v>9</v>
      </c>
      <c r="B11" t="s">
        <v>150</v>
      </c>
      <c r="C11">
        <f>MATCH(Events!B11,'Medal Count'!C:C,0)</f>
        <v>12</v>
      </c>
      <c r="D11" s="5"/>
      <c r="E11" s="7"/>
      <c r="F11" s="3"/>
      <c r="G11" s="9">
        <f t="shared" si="0"/>
        <v>3</v>
      </c>
      <c r="H11">
        <v>1</v>
      </c>
      <c r="I11" cm="1">
        <f t="array" ref="I11">INDEX('Medal Count'!D:D,Events!$C11)</f>
        <v>0</v>
      </c>
      <c r="J11" cm="1">
        <f t="array" ref="J11">INDEX('Medal Count'!E:E,Events!$C11)</f>
        <v>0</v>
      </c>
      <c r="K11" cm="1">
        <f t="array" ref="K11">INDEX('Medal Count'!F:F,Events!$C11)</f>
        <v>0</v>
      </c>
      <c r="L11">
        <f t="shared" si="2"/>
        <v>0</v>
      </c>
    </row>
    <row r="12" spans="1:35" ht="28.5" x14ac:dyDescent="0.2">
      <c r="A12" s="1" t="s">
        <v>10</v>
      </c>
      <c r="B12" t="s">
        <v>151</v>
      </c>
      <c r="C12">
        <f>MATCH(Events!B12,'Medal Count'!C:C,0)</f>
        <v>13</v>
      </c>
      <c r="D12" s="5"/>
      <c r="E12" s="7"/>
      <c r="F12" s="3"/>
      <c r="G12" s="9">
        <f t="shared" si="0"/>
        <v>3</v>
      </c>
      <c r="H12">
        <v>4</v>
      </c>
      <c r="I12" cm="1">
        <f t="array" ref="I12">INDEX('Medal Count'!D:D,Events!$C12)</f>
        <v>0</v>
      </c>
      <c r="J12" cm="1">
        <f t="array" ref="J12">INDEX('Medal Count'!E:E,Events!$C12)</f>
        <v>0</v>
      </c>
      <c r="K12" cm="1">
        <f t="array" ref="K12">INDEX('Medal Count'!F:F,Events!$C12)</f>
        <v>0</v>
      </c>
      <c r="L12">
        <f t="shared" si="2"/>
        <v>0</v>
      </c>
    </row>
    <row r="13" spans="1:35" x14ac:dyDescent="0.2">
      <c r="A13" s="1" t="s">
        <v>11</v>
      </c>
      <c r="B13" t="s">
        <v>152</v>
      </c>
      <c r="C13">
        <f>MATCH(Events!B13,'Medal Count'!C:C,0)</f>
        <v>14</v>
      </c>
      <c r="D13" s="5"/>
      <c r="E13" s="7"/>
      <c r="F13" s="3"/>
      <c r="G13" s="9">
        <f t="shared" si="0"/>
        <v>3</v>
      </c>
      <c r="H13">
        <v>5</v>
      </c>
      <c r="I13" cm="1">
        <f t="array" ref="I13">INDEX('Medal Count'!D:D,Events!$C13)</f>
        <v>0</v>
      </c>
      <c r="J13" cm="1">
        <f t="array" ref="J13">INDEX('Medal Count'!E:E,Events!$C13)</f>
        <v>0</v>
      </c>
      <c r="K13" cm="1">
        <f t="array" ref="K13">INDEX('Medal Count'!F:F,Events!$C13)</f>
        <v>0</v>
      </c>
      <c r="L13">
        <f t="shared" si="2"/>
        <v>0</v>
      </c>
    </row>
    <row r="14" spans="1:35" x14ac:dyDescent="0.2">
      <c r="A14" s="1" t="s">
        <v>12</v>
      </c>
      <c r="B14" t="s">
        <v>153</v>
      </c>
      <c r="C14">
        <f>MATCH(Events!B14,'Medal Count'!C:C,0)</f>
        <v>15</v>
      </c>
      <c r="D14" s="5"/>
      <c r="E14" s="7"/>
      <c r="F14" s="3"/>
      <c r="G14" s="9">
        <f t="shared" si="0"/>
        <v>3</v>
      </c>
      <c r="H14">
        <v>14</v>
      </c>
      <c r="I14" cm="1">
        <f t="array" ref="I14">INDEX('Medal Count'!D:D,Events!$C14)</f>
        <v>0</v>
      </c>
      <c r="J14" cm="1">
        <f t="array" ref="J14">INDEX('Medal Count'!E:E,Events!$C14)</f>
        <v>0</v>
      </c>
      <c r="K14" cm="1">
        <f t="array" ref="K14">INDEX('Medal Count'!F:F,Events!$C14)</f>
        <v>1</v>
      </c>
      <c r="L14">
        <f t="shared" si="2"/>
        <v>2</v>
      </c>
    </row>
    <row r="15" spans="1:35" x14ac:dyDescent="0.2">
      <c r="A15" s="1" t="s">
        <v>13</v>
      </c>
      <c r="B15" t="s">
        <v>154</v>
      </c>
      <c r="C15">
        <f>MATCH(Events!B15,'Medal Count'!C:C,0)</f>
        <v>16</v>
      </c>
      <c r="D15" s="5">
        <v>4</v>
      </c>
      <c r="E15" s="7">
        <v>8</v>
      </c>
      <c r="F15" s="3">
        <v>14</v>
      </c>
      <c r="G15" s="9">
        <f t="shared" si="0"/>
        <v>42</v>
      </c>
      <c r="H15">
        <v>117</v>
      </c>
      <c r="I15" cm="1">
        <f t="array" ref="I15">INDEX('Medal Count'!D:D,Events!$C15)</f>
        <v>0</v>
      </c>
      <c r="J15" cm="1">
        <f t="array" ref="J15">INDEX('Medal Count'!E:E,Events!$C15)</f>
        <v>1</v>
      </c>
      <c r="K15" cm="1">
        <f t="array" ref="K15">INDEX('Medal Count'!F:F,Events!$C15)</f>
        <v>2</v>
      </c>
      <c r="L15">
        <f>SUM((I15*3)+(J15*2)+(K15*1))</f>
        <v>4</v>
      </c>
      <c r="P15">
        <v>1</v>
      </c>
      <c r="T15">
        <v>1</v>
      </c>
      <c r="V15">
        <v>1</v>
      </c>
      <c r="AD15">
        <v>1</v>
      </c>
      <c r="AG15">
        <v>1</v>
      </c>
    </row>
    <row r="16" spans="1:35" x14ac:dyDescent="0.2">
      <c r="A16" s="1" t="s">
        <v>14</v>
      </c>
      <c r="B16" t="s">
        <v>155</v>
      </c>
      <c r="C16">
        <f>MATCH(Events!B16,'Medal Count'!C:C,0)</f>
        <v>17</v>
      </c>
      <c r="D16" s="5"/>
      <c r="E16" s="7"/>
      <c r="F16" s="3"/>
      <c r="G16" s="9">
        <f t="shared" si="0"/>
        <v>3</v>
      </c>
      <c r="H16">
        <v>3</v>
      </c>
      <c r="I16" cm="1">
        <f t="array" ref="I16">INDEX('Medal Count'!D:D,Events!$C16)</f>
        <v>0</v>
      </c>
      <c r="J16" cm="1">
        <f t="array" ref="J16">INDEX('Medal Count'!E:E,Events!$C16)</f>
        <v>0</v>
      </c>
      <c r="K16" cm="1">
        <f t="array" ref="K16">INDEX('Medal Count'!F:F,Events!$C16)</f>
        <v>0</v>
      </c>
      <c r="L16">
        <f>(I16*3*2)+(J16*2*2)+(K16*1*2)</f>
        <v>0</v>
      </c>
    </row>
    <row r="17" spans="1:34" x14ac:dyDescent="0.2">
      <c r="A17" s="1" t="s">
        <v>15</v>
      </c>
      <c r="B17" t="s">
        <v>156</v>
      </c>
      <c r="C17">
        <f>MATCH(Events!B17,'Medal Count'!C:C,0)</f>
        <v>18</v>
      </c>
      <c r="D17" s="5">
        <v>9</v>
      </c>
      <c r="E17" s="7">
        <v>4</v>
      </c>
      <c r="F17" s="3">
        <v>2</v>
      </c>
      <c r="G17" s="9">
        <f t="shared" si="0"/>
        <v>37</v>
      </c>
      <c r="H17">
        <v>51</v>
      </c>
      <c r="I17" cm="1">
        <f t="array" ref="I17">INDEX('Medal Count'!D:D,Events!$C17)</f>
        <v>0</v>
      </c>
      <c r="J17" cm="1">
        <f t="array" ref="J17">INDEX('Medal Count'!E:E,Events!$C17)</f>
        <v>1</v>
      </c>
      <c r="K17" cm="1">
        <f t="array" ref="K17">INDEX('Medal Count'!F:F,Events!$C17)</f>
        <v>1</v>
      </c>
      <c r="L17">
        <f>SUM((I17*3)+(J17*2)+(K17*1))</f>
        <v>3</v>
      </c>
      <c r="Z17">
        <v>1</v>
      </c>
      <c r="AB17">
        <v>1</v>
      </c>
    </row>
    <row r="18" spans="1:34" x14ac:dyDescent="0.2">
      <c r="A18" s="1" t="s">
        <v>16</v>
      </c>
      <c r="B18" t="s">
        <v>158</v>
      </c>
      <c r="C18">
        <f>MATCH(Events!B18,'Medal Count'!C:C,0)</f>
        <v>20</v>
      </c>
      <c r="D18" s="5"/>
      <c r="E18" s="7"/>
      <c r="F18" s="3"/>
      <c r="G18" s="9">
        <f t="shared" si="0"/>
        <v>3</v>
      </c>
      <c r="H18">
        <v>1</v>
      </c>
      <c r="I18" cm="1">
        <f t="array" ref="I18">INDEX('Medal Count'!D:D,Events!$C18)</f>
        <v>0</v>
      </c>
      <c r="J18" cm="1">
        <f t="array" ref="J18">INDEX('Medal Count'!E:E,Events!$C18)</f>
        <v>0</v>
      </c>
      <c r="K18" cm="1">
        <f t="array" ref="K18">INDEX('Medal Count'!F:F,Events!$C18)</f>
        <v>0</v>
      </c>
      <c r="L18">
        <f t="shared" ref="L18:L20" si="3">(I18*3*2)+(J18*2*2)+(K18*1*2)</f>
        <v>0</v>
      </c>
    </row>
    <row r="19" spans="1:34" x14ac:dyDescent="0.2">
      <c r="A19" s="1" t="s">
        <v>17</v>
      </c>
      <c r="B19" t="s">
        <v>159</v>
      </c>
      <c r="C19">
        <f>MATCH(Events!B19,'Medal Count'!C:C,0)</f>
        <v>21</v>
      </c>
      <c r="D19" s="5"/>
      <c r="E19" s="7"/>
      <c r="F19" s="3"/>
      <c r="G19" s="9">
        <f t="shared" si="0"/>
        <v>3</v>
      </c>
      <c r="H19">
        <v>7</v>
      </c>
      <c r="I19" cm="1">
        <f t="array" ref="I19">INDEX('Medal Count'!D:D,Events!$C19)</f>
        <v>0</v>
      </c>
      <c r="J19" cm="1">
        <f t="array" ref="J19">INDEX('Medal Count'!E:E,Events!$C19)</f>
        <v>0</v>
      </c>
      <c r="K19" cm="1">
        <f t="array" ref="K19">INDEX('Medal Count'!F:F,Events!$C19)</f>
        <v>0</v>
      </c>
      <c r="L19">
        <f t="shared" si="3"/>
        <v>0</v>
      </c>
    </row>
    <row r="20" spans="1:34" x14ac:dyDescent="0.2">
      <c r="A20" s="1" t="s">
        <v>18</v>
      </c>
      <c r="B20" t="s">
        <v>160</v>
      </c>
      <c r="C20">
        <f>MATCH(Events!B20,'Medal Count'!C:C,0)</f>
        <v>22</v>
      </c>
      <c r="D20" s="5"/>
      <c r="E20" s="7"/>
      <c r="F20" s="3"/>
      <c r="G20" s="9">
        <f t="shared" si="0"/>
        <v>3</v>
      </c>
      <c r="H20">
        <v>2</v>
      </c>
      <c r="I20" cm="1">
        <f t="array" ref="I20">INDEX('Medal Count'!D:D,Events!$C20)</f>
        <v>0</v>
      </c>
      <c r="J20" cm="1">
        <f t="array" ref="J20">INDEX('Medal Count'!E:E,Events!$C20)</f>
        <v>0</v>
      </c>
      <c r="K20" cm="1">
        <f t="array" ref="K20">INDEX('Medal Count'!F:F,Events!$C20)</f>
        <v>0</v>
      </c>
      <c r="L20">
        <f t="shared" si="3"/>
        <v>0</v>
      </c>
    </row>
    <row r="21" spans="1:34" ht="28.5" x14ac:dyDescent="0.2">
      <c r="A21" s="1" t="s">
        <v>19</v>
      </c>
      <c r="B21" t="s">
        <v>161</v>
      </c>
      <c r="C21">
        <f>MATCH(Events!B21,'Medal Count'!C:C,0)</f>
        <v>23</v>
      </c>
      <c r="D21" s="5">
        <v>1</v>
      </c>
      <c r="E21" s="7">
        <v>0</v>
      </c>
      <c r="F21" s="3">
        <v>1</v>
      </c>
      <c r="G21" s="9">
        <f t="shared" si="0"/>
        <v>4</v>
      </c>
      <c r="H21">
        <v>91</v>
      </c>
      <c r="I21" cm="1">
        <f t="array" ref="I21">INDEX('Medal Count'!D:D,Events!$C21)</f>
        <v>1</v>
      </c>
      <c r="J21" cm="1">
        <f t="array" ref="J21">INDEX('Medal Count'!E:E,Events!$C21)</f>
        <v>1</v>
      </c>
      <c r="K21" cm="1">
        <f t="array" ref="K21">INDEX('Medal Count'!F:F,Events!$C21)</f>
        <v>0</v>
      </c>
      <c r="L21">
        <f>SUM((I21*3)+(J21*2)+(K21*1))</f>
        <v>5</v>
      </c>
      <c r="O21">
        <v>1</v>
      </c>
      <c r="P21">
        <v>1</v>
      </c>
      <c r="U21">
        <v>1</v>
      </c>
      <c r="Y21">
        <v>1</v>
      </c>
      <c r="AB21">
        <v>1</v>
      </c>
      <c r="AD21">
        <v>1</v>
      </c>
      <c r="AH21">
        <v>1</v>
      </c>
    </row>
    <row r="22" spans="1:34" x14ac:dyDescent="0.2">
      <c r="A22" s="1" t="s">
        <v>20</v>
      </c>
      <c r="B22" t="s">
        <v>162</v>
      </c>
      <c r="C22">
        <f>MATCH(Events!B22,'Medal Count'!C:C,0)</f>
        <v>24</v>
      </c>
      <c r="D22" s="5"/>
      <c r="E22" s="7"/>
      <c r="F22" s="3"/>
      <c r="G22" s="9">
        <f t="shared" si="0"/>
        <v>3</v>
      </c>
      <c r="H22">
        <v>38</v>
      </c>
      <c r="I22" cm="1">
        <f t="array" ref="I22">INDEX('Medal Count'!D:D,Events!$C22)</f>
        <v>0</v>
      </c>
      <c r="J22" cm="1">
        <f t="array" ref="J22">INDEX('Medal Count'!E:E,Events!$C22)</f>
        <v>0</v>
      </c>
      <c r="K22" cm="1">
        <f t="array" ref="K22">INDEX('Medal Count'!F:F,Events!$C22)</f>
        <v>0</v>
      </c>
      <c r="L22">
        <f t="shared" ref="L22:L24" si="4">(I22*3*2)+(J22*2*2)+(K22*1*2)</f>
        <v>0</v>
      </c>
      <c r="U22">
        <v>1</v>
      </c>
    </row>
    <row r="23" spans="1:34" x14ac:dyDescent="0.2">
      <c r="A23" s="1" t="s">
        <v>21</v>
      </c>
      <c r="B23" t="s">
        <v>163</v>
      </c>
      <c r="C23">
        <f>MATCH(Events!B23,'Medal Count'!C:C,0)</f>
        <v>25</v>
      </c>
      <c r="D23" s="5"/>
      <c r="E23" s="7"/>
      <c r="F23" s="3"/>
      <c r="G23" s="9">
        <f t="shared" si="0"/>
        <v>3</v>
      </c>
      <c r="H23">
        <v>1</v>
      </c>
      <c r="I23" cm="1">
        <f t="array" ref="I23">INDEX('Medal Count'!D:D,Events!$C23)</f>
        <v>0</v>
      </c>
      <c r="J23" cm="1">
        <f t="array" ref="J23">INDEX('Medal Count'!E:E,Events!$C23)</f>
        <v>0</v>
      </c>
      <c r="K23" cm="1">
        <f t="array" ref="K23">INDEX('Medal Count'!F:F,Events!$C23)</f>
        <v>0</v>
      </c>
      <c r="L23">
        <f t="shared" si="4"/>
        <v>0</v>
      </c>
    </row>
    <row r="24" spans="1:34" x14ac:dyDescent="0.2">
      <c r="A24" s="1" t="s">
        <v>22</v>
      </c>
      <c r="B24" t="s">
        <v>164</v>
      </c>
      <c r="C24">
        <f>MATCH(Events!B24,'Medal Count'!C:C,0)</f>
        <v>26</v>
      </c>
      <c r="D24" s="5"/>
      <c r="E24" s="7"/>
      <c r="F24" s="3"/>
      <c r="G24" s="9">
        <f t="shared" si="0"/>
        <v>3</v>
      </c>
      <c r="H24">
        <v>1</v>
      </c>
      <c r="I24" cm="1">
        <f t="array" ref="I24">INDEX('Medal Count'!D:D,Events!$C24)</f>
        <v>0</v>
      </c>
      <c r="J24" cm="1">
        <f t="array" ref="J24">INDEX('Medal Count'!E:E,Events!$C24)</f>
        <v>0</v>
      </c>
      <c r="K24" cm="1">
        <f t="array" ref="K24">INDEX('Medal Count'!F:F,Events!$C24)</f>
        <v>0</v>
      </c>
      <c r="L24">
        <f t="shared" si="4"/>
        <v>0</v>
      </c>
    </row>
    <row r="25" spans="1:34" x14ac:dyDescent="0.2">
      <c r="A25" s="1" t="s">
        <v>23</v>
      </c>
      <c r="B25" t="s">
        <v>165</v>
      </c>
      <c r="C25">
        <f>MATCH(Events!B25,'Medal Count'!C:C,0)</f>
        <v>27</v>
      </c>
      <c r="D25" s="5">
        <v>0</v>
      </c>
      <c r="E25" s="7">
        <v>0</v>
      </c>
      <c r="F25" s="3">
        <v>1</v>
      </c>
      <c r="G25" s="9">
        <f t="shared" si="0"/>
        <v>1</v>
      </c>
      <c r="H25">
        <v>23</v>
      </c>
      <c r="I25" cm="1">
        <f t="array" ref="I25">INDEX('Medal Count'!D:D,Events!$C25)</f>
        <v>0</v>
      </c>
      <c r="J25" cm="1">
        <f t="array" ref="J25">INDEX('Medal Count'!E:E,Events!$C25)</f>
        <v>0</v>
      </c>
      <c r="K25" cm="1">
        <f t="array" ref="K25">INDEX('Medal Count'!F:F,Events!$C25)</f>
        <v>0</v>
      </c>
      <c r="L25">
        <f t="shared" ref="L25:L27" si="5">SUM((I25*3)+(J25*2)+(K25*1))</f>
        <v>0</v>
      </c>
      <c r="Q25">
        <v>1</v>
      </c>
      <c r="R25">
        <v>1</v>
      </c>
      <c r="T25">
        <v>1</v>
      </c>
      <c r="Y25">
        <v>1</v>
      </c>
      <c r="Z25">
        <v>1</v>
      </c>
    </row>
    <row r="26" spans="1:34" x14ac:dyDescent="0.2">
      <c r="A26" s="1" t="s">
        <v>24</v>
      </c>
      <c r="B26" t="s">
        <v>166</v>
      </c>
      <c r="C26">
        <f>MATCH(Events!B26,'Medal Count'!C:C,0)</f>
        <v>28</v>
      </c>
      <c r="D26" s="5">
        <v>2</v>
      </c>
      <c r="E26" s="7">
        <v>2</v>
      </c>
      <c r="F26" s="3">
        <v>4</v>
      </c>
      <c r="G26" s="9">
        <f t="shared" si="0"/>
        <v>14</v>
      </c>
      <c r="H26">
        <v>78</v>
      </c>
      <c r="I26" cm="1">
        <f t="array" ref="I26">INDEX('Medal Count'!D:D,Events!$C26)</f>
        <v>0</v>
      </c>
      <c r="J26" cm="1">
        <f t="array" ref="J26">INDEX('Medal Count'!E:E,Events!$C26)</f>
        <v>0</v>
      </c>
      <c r="K26" cm="1">
        <f t="array" ref="K26">INDEX('Medal Count'!F:F,Events!$C26)</f>
        <v>1</v>
      </c>
      <c r="L26">
        <f t="shared" si="5"/>
        <v>1</v>
      </c>
      <c r="O26">
        <v>1</v>
      </c>
      <c r="T26">
        <v>1</v>
      </c>
      <c r="X26">
        <v>1</v>
      </c>
      <c r="Y26">
        <v>1</v>
      </c>
      <c r="AG26">
        <v>1</v>
      </c>
    </row>
    <row r="27" spans="1:34" x14ac:dyDescent="0.2">
      <c r="A27" s="1" t="s">
        <v>25</v>
      </c>
      <c r="B27" t="s">
        <v>167</v>
      </c>
      <c r="C27">
        <f>MATCH(Events!B27,'Medal Count'!C:C,0)</f>
        <v>29</v>
      </c>
      <c r="D27" s="5">
        <v>5</v>
      </c>
      <c r="E27" s="7">
        <v>7</v>
      </c>
      <c r="F27" s="3">
        <v>2</v>
      </c>
      <c r="G27" s="9">
        <f t="shared" si="0"/>
        <v>31</v>
      </c>
      <c r="H27">
        <v>99</v>
      </c>
      <c r="I27" cm="1">
        <f t="array" ref="I27">INDEX('Medal Count'!D:D,Events!$C27)</f>
        <v>1</v>
      </c>
      <c r="J27" cm="1">
        <f t="array" ref="J27">INDEX('Medal Count'!E:E,Events!$C27)</f>
        <v>2</v>
      </c>
      <c r="K27" cm="1">
        <f t="array" ref="K27">INDEX('Medal Count'!F:F,Events!$C27)</f>
        <v>0</v>
      </c>
      <c r="L27">
        <f t="shared" si="5"/>
        <v>7</v>
      </c>
      <c r="N27">
        <v>1</v>
      </c>
      <c r="X27">
        <v>1</v>
      </c>
    </row>
    <row r="28" spans="1:34" x14ac:dyDescent="0.2">
      <c r="A28" s="1" t="s">
        <v>26</v>
      </c>
      <c r="B28" t="s">
        <v>168</v>
      </c>
      <c r="C28">
        <f>MATCH(Events!B28,'Medal Count'!C:C,0)</f>
        <v>30</v>
      </c>
      <c r="D28" s="5"/>
      <c r="E28" s="7"/>
      <c r="F28" s="3"/>
      <c r="G28" s="9">
        <f t="shared" si="0"/>
        <v>3</v>
      </c>
      <c r="H28">
        <v>8</v>
      </c>
      <c r="I28" cm="1">
        <f t="array" ref="I28">INDEX('Medal Count'!D:D,Events!$C28)</f>
        <v>0</v>
      </c>
      <c r="J28" cm="1">
        <f t="array" ref="J28">INDEX('Medal Count'!E:E,Events!$C28)</f>
        <v>0</v>
      </c>
      <c r="K28" cm="1">
        <f t="array" ref="K28">INDEX('Medal Count'!F:F,Events!$C28)</f>
        <v>0</v>
      </c>
      <c r="L28">
        <f>(I28*3*2)+(J28*2*2)+(K28*1*2)</f>
        <v>0</v>
      </c>
    </row>
    <row r="29" spans="1:34" x14ac:dyDescent="0.2">
      <c r="A29" s="1" t="s">
        <v>27</v>
      </c>
      <c r="B29" t="s">
        <v>169</v>
      </c>
      <c r="C29">
        <f>MATCH(Events!B29,'Medal Count'!C:C,0)</f>
        <v>31</v>
      </c>
      <c r="D29" s="5">
        <v>12</v>
      </c>
      <c r="E29" s="7">
        <v>10</v>
      </c>
      <c r="F29" s="3">
        <v>5</v>
      </c>
      <c r="G29" s="9">
        <f t="shared" si="0"/>
        <v>61</v>
      </c>
      <c r="H29">
        <v>103</v>
      </c>
      <c r="I29" cm="1">
        <f t="array" ref="I29">INDEX('Medal Count'!D:D,Events!$C29)</f>
        <v>3</v>
      </c>
      <c r="J29" cm="1">
        <f t="array" ref="J29">INDEX('Medal Count'!E:E,Events!$C29)</f>
        <v>2</v>
      </c>
      <c r="K29" cm="1">
        <f t="array" ref="K29">INDEX('Medal Count'!F:F,Events!$C29)</f>
        <v>1</v>
      </c>
      <c r="L29">
        <f t="shared" ref="L29:L30" si="6">SUM((I29*3)+(J29*2)+(K29*1))</f>
        <v>14</v>
      </c>
      <c r="M29">
        <v>1</v>
      </c>
      <c r="Z29">
        <v>1</v>
      </c>
      <c r="AA29">
        <v>1</v>
      </c>
      <c r="AC29">
        <v>1</v>
      </c>
    </row>
    <row r="30" spans="1:34" x14ac:dyDescent="0.2">
      <c r="A30" s="1" t="s">
        <v>28</v>
      </c>
      <c r="B30" t="s">
        <v>170</v>
      </c>
      <c r="C30">
        <f>MATCH(Events!B30,'Medal Count'!C:C,0)</f>
        <v>32</v>
      </c>
      <c r="D30" s="5">
        <v>1</v>
      </c>
      <c r="E30" s="7">
        <v>1</v>
      </c>
      <c r="F30" s="3"/>
      <c r="G30" s="9">
        <f t="shared" si="0"/>
        <v>5</v>
      </c>
      <c r="H30">
        <v>27</v>
      </c>
      <c r="I30" cm="1">
        <f t="array" ref="I30">INDEX('Medal Count'!D:D,Events!$C30)</f>
        <v>0</v>
      </c>
      <c r="J30" cm="1">
        <f t="array" ref="J30">INDEX('Medal Count'!E:E,Events!$C30)</f>
        <v>0</v>
      </c>
      <c r="K30" cm="1">
        <f t="array" ref="K30">INDEX('Medal Count'!F:F,Events!$C30)</f>
        <v>0</v>
      </c>
      <c r="L30">
        <f t="shared" si="6"/>
        <v>0</v>
      </c>
      <c r="AH30">
        <v>1</v>
      </c>
    </row>
    <row r="31" spans="1:34" x14ac:dyDescent="0.2">
      <c r="A31" s="1" t="s">
        <v>29</v>
      </c>
      <c r="B31" t="s">
        <v>171</v>
      </c>
      <c r="C31">
        <f>MATCH(Events!B31,'Medal Count'!C:C,0)</f>
        <v>33</v>
      </c>
      <c r="D31" s="5"/>
      <c r="E31" s="7"/>
      <c r="F31" s="3"/>
      <c r="G31" s="9">
        <f t="shared" si="0"/>
        <v>3</v>
      </c>
      <c r="H31">
        <v>5</v>
      </c>
      <c r="I31" cm="1">
        <f t="array" ref="I31">INDEX('Medal Count'!D:D,Events!$C31)</f>
        <v>0</v>
      </c>
      <c r="J31" cm="1">
        <f t="array" ref="J31">INDEX('Medal Count'!E:E,Events!$C31)</f>
        <v>0</v>
      </c>
      <c r="K31" cm="1">
        <f t="array" ref="K31">INDEX('Medal Count'!F:F,Events!$C31)</f>
        <v>0</v>
      </c>
      <c r="L31">
        <f t="shared" ref="L31:L34" si="7">(I31*3*2)+(J31*2*2)+(K31*1*2)</f>
        <v>0</v>
      </c>
    </row>
    <row r="32" spans="1:34" x14ac:dyDescent="0.2">
      <c r="A32" s="1" t="s">
        <v>30</v>
      </c>
      <c r="B32" t="s">
        <v>172</v>
      </c>
      <c r="C32">
        <f>MATCH(Events!B32,'Medal Count'!C:C,0)</f>
        <v>34</v>
      </c>
      <c r="D32" s="5"/>
      <c r="E32" s="7"/>
      <c r="F32" s="3"/>
      <c r="G32" s="9">
        <f t="shared" si="0"/>
        <v>3</v>
      </c>
      <c r="H32">
        <v>1</v>
      </c>
      <c r="I32" cm="1">
        <f t="array" ref="I32">INDEX('Medal Count'!D:D,Events!$C32)</f>
        <v>0</v>
      </c>
      <c r="J32" cm="1">
        <f t="array" ref="J32">INDEX('Medal Count'!E:E,Events!$C32)</f>
        <v>0</v>
      </c>
      <c r="K32" cm="1">
        <f t="array" ref="K32">INDEX('Medal Count'!F:F,Events!$C32)</f>
        <v>0</v>
      </c>
      <c r="L32">
        <f t="shared" si="7"/>
        <v>0</v>
      </c>
    </row>
    <row r="33" spans="1:35" x14ac:dyDescent="0.2">
      <c r="A33" s="1" t="s">
        <v>31</v>
      </c>
      <c r="B33" t="s">
        <v>173</v>
      </c>
      <c r="C33">
        <f>MATCH(Events!B33,'Medal Count'!C:C,0)</f>
        <v>35</v>
      </c>
      <c r="D33" s="5"/>
      <c r="E33" s="7"/>
      <c r="F33" s="3"/>
      <c r="G33" s="9">
        <f t="shared" si="0"/>
        <v>3</v>
      </c>
      <c r="H33">
        <v>2</v>
      </c>
      <c r="I33" cm="1">
        <f t="array" ref="I33">INDEX('Medal Count'!D:D,Events!$C33)</f>
        <v>0</v>
      </c>
      <c r="J33" cm="1">
        <f t="array" ref="J33">INDEX('Medal Count'!E:E,Events!$C33)</f>
        <v>0</v>
      </c>
      <c r="K33" cm="1">
        <f t="array" ref="K33">INDEX('Medal Count'!F:F,Events!$C33)</f>
        <v>0</v>
      </c>
      <c r="L33">
        <f t="shared" si="7"/>
        <v>0</v>
      </c>
    </row>
    <row r="34" spans="1:35" x14ac:dyDescent="0.2">
      <c r="A34" s="1" t="s">
        <v>32</v>
      </c>
      <c r="B34" t="s">
        <v>174</v>
      </c>
      <c r="C34">
        <f>MATCH(Events!B34,'Medal Count'!C:C,0)</f>
        <v>36</v>
      </c>
      <c r="D34" s="5"/>
      <c r="E34" s="7"/>
      <c r="F34" s="3"/>
      <c r="G34" s="9">
        <f t="shared" si="0"/>
        <v>3</v>
      </c>
      <c r="H34">
        <v>3</v>
      </c>
      <c r="I34" cm="1">
        <f t="array" ref="I34">INDEX('Medal Count'!D:D,Events!$C34)</f>
        <v>0</v>
      </c>
      <c r="J34" cm="1">
        <f t="array" ref="J34">INDEX('Medal Count'!E:E,Events!$C34)</f>
        <v>0</v>
      </c>
      <c r="K34" cm="1">
        <f t="array" ref="K34">INDEX('Medal Count'!F:F,Events!$C34)</f>
        <v>0</v>
      </c>
      <c r="L34">
        <f t="shared" si="7"/>
        <v>0</v>
      </c>
    </row>
    <row r="35" spans="1:35" x14ac:dyDescent="0.2">
      <c r="A35" s="1" t="s">
        <v>33</v>
      </c>
      <c r="B35" t="s">
        <v>175</v>
      </c>
      <c r="C35">
        <f>MATCH(Events!B35,'Medal Count'!C:C,0)</f>
        <v>37</v>
      </c>
      <c r="D35" s="5">
        <v>1</v>
      </c>
      <c r="E35" s="7">
        <v>0</v>
      </c>
      <c r="F35" s="3">
        <v>2</v>
      </c>
      <c r="G35" s="9">
        <f t="shared" si="0"/>
        <v>5</v>
      </c>
      <c r="H35">
        <v>16</v>
      </c>
      <c r="I35" cm="1">
        <f t="array" ref="I35">INDEX('Medal Count'!D:D,Events!$C35)</f>
        <v>0</v>
      </c>
      <c r="J35" cm="1">
        <f t="array" ref="J35">INDEX('Medal Count'!E:E,Events!$C35)</f>
        <v>0</v>
      </c>
      <c r="K35" cm="1">
        <f t="array" ref="K35">INDEX('Medal Count'!F:F,Events!$C35)</f>
        <v>0</v>
      </c>
      <c r="L35">
        <f>SUM((I35*3)+(J35*2)+(K35*1))</f>
        <v>0</v>
      </c>
      <c r="AF35">
        <v>1</v>
      </c>
    </row>
    <row r="36" spans="1:35" x14ac:dyDescent="0.2">
      <c r="A36" s="1" t="s">
        <v>34</v>
      </c>
      <c r="B36" t="s">
        <v>176</v>
      </c>
      <c r="C36">
        <f>MATCH(Events!B36,'Medal Count'!C:C,0)</f>
        <v>38</v>
      </c>
      <c r="D36" s="5"/>
      <c r="E36" s="7"/>
      <c r="F36" s="3"/>
      <c r="G36" s="9">
        <f t="shared" si="0"/>
        <v>3</v>
      </c>
      <c r="H36">
        <v>4</v>
      </c>
      <c r="I36" cm="1">
        <f t="array" ref="I36">INDEX('Medal Count'!D:D,Events!$C36)</f>
        <v>0</v>
      </c>
      <c r="J36" cm="1">
        <f t="array" ref="J36">INDEX('Medal Count'!E:E,Events!$C36)</f>
        <v>0</v>
      </c>
      <c r="K36" cm="1">
        <f t="array" ref="K36">INDEX('Medal Count'!F:F,Events!$C36)</f>
        <v>0</v>
      </c>
      <c r="L36">
        <f t="shared" ref="L36:L41" si="8">(I36*3*2)+(J36*2*2)+(K36*1*2)</f>
        <v>0</v>
      </c>
    </row>
    <row r="37" spans="1:35" x14ac:dyDescent="0.2">
      <c r="A37" s="1" t="s">
        <v>35</v>
      </c>
      <c r="B37" t="s">
        <v>177</v>
      </c>
      <c r="C37">
        <f>MATCH(Events!B37,'Medal Count'!C:C,0)</f>
        <v>39</v>
      </c>
      <c r="D37" s="5"/>
      <c r="E37" s="7"/>
      <c r="F37" s="3"/>
      <c r="G37" s="9">
        <f t="shared" si="0"/>
        <v>3</v>
      </c>
      <c r="H37">
        <v>2</v>
      </c>
      <c r="I37" cm="1">
        <f t="array" ref="I37">INDEX('Medal Count'!D:D,Events!$C37)</f>
        <v>0</v>
      </c>
      <c r="J37" cm="1">
        <f t="array" ref="J37">INDEX('Medal Count'!E:E,Events!$C37)</f>
        <v>0</v>
      </c>
      <c r="K37" cm="1">
        <f t="array" ref="K37">INDEX('Medal Count'!F:F,Events!$C37)</f>
        <v>0</v>
      </c>
      <c r="L37">
        <f t="shared" si="8"/>
        <v>0</v>
      </c>
    </row>
    <row r="38" spans="1:35" ht="28.5" x14ac:dyDescent="0.2">
      <c r="A38" s="1" t="s">
        <v>36</v>
      </c>
      <c r="B38" t="s">
        <v>238</v>
      </c>
      <c r="C38">
        <f>MATCH(Events!B38,'Medal Count'!C:C,0)</f>
        <v>98</v>
      </c>
      <c r="D38" s="5"/>
      <c r="E38" s="7"/>
      <c r="F38" s="3"/>
      <c r="G38" s="9">
        <f t="shared" si="0"/>
        <v>3</v>
      </c>
      <c r="H38">
        <v>15</v>
      </c>
      <c r="I38" cm="1">
        <f t="array" ref="I38">INDEX('Medal Count'!D:D,Events!$C38)</f>
        <v>0</v>
      </c>
      <c r="J38" cm="1">
        <f t="array" ref="J38">INDEX('Medal Count'!E:E,Events!$C38)</f>
        <v>0</v>
      </c>
      <c r="K38" cm="1">
        <f t="array" ref="K38">INDEX('Medal Count'!F:F,Events!$C38)</f>
        <v>0</v>
      </c>
      <c r="L38">
        <f t="shared" si="8"/>
        <v>0</v>
      </c>
      <c r="N38">
        <v>1</v>
      </c>
      <c r="Q38">
        <v>1</v>
      </c>
    </row>
    <row r="39" spans="1:35" x14ac:dyDescent="0.2">
      <c r="A39" s="1" t="s">
        <v>37</v>
      </c>
      <c r="B39" t="s">
        <v>178</v>
      </c>
      <c r="C39">
        <f>MATCH(Events!B39,'Medal Count'!C:C,0)</f>
        <v>40</v>
      </c>
      <c r="D39" s="5"/>
      <c r="E39" s="7"/>
      <c r="F39" s="3"/>
      <c r="G39" s="9">
        <f t="shared" si="0"/>
        <v>3</v>
      </c>
      <c r="H39">
        <v>4</v>
      </c>
      <c r="I39" cm="1">
        <f t="array" ref="I39">INDEX('Medal Count'!D:D,Events!$C39)</f>
        <v>0</v>
      </c>
      <c r="J39" cm="1">
        <f t="array" ref="J39">INDEX('Medal Count'!E:E,Events!$C39)</f>
        <v>0</v>
      </c>
      <c r="K39" cm="1">
        <f t="array" ref="K39">INDEX('Medal Count'!F:F,Events!$C39)</f>
        <v>0</v>
      </c>
      <c r="L39">
        <f t="shared" si="8"/>
        <v>0</v>
      </c>
    </row>
    <row r="40" spans="1:35" x14ac:dyDescent="0.2">
      <c r="A40" s="1" t="s">
        <v>38</v>
      </c>
      <c r="B40" t="s">
        <v>179</v>
      </c>
      <c r="C40">
        <f>MATCH(Events!B40,'Medal Count'!C:C,0)</f>
        <v>41</v>
      </c>
      <c r="D40" s="5"/>
      <c r="E40" s="7"/>
      <c r="F40" s="3"/>
      <c r="G40" s="9">
        <f t="shared" si="0"/>
        <v>3</v>
      </c>
      <c r="H40">
        <v>4</v>
      </c>
      <c r="I40" cm="1">
        <f t="array" ref="I40">INDEX('Medal Count'!D:D,Events!$C40)</f>
        <v>0</v>
      </c>
      <c r="J40" cm="1">
        <f t="array" ref="J40">INDEX('Medal Count'!E:E,Events!$C40)</f>
        <v>0</v>
      </c>
      <c r="K40" cm="1">
        <f t="array" ref="K40">INDEX('Medal Count'!F:F,Events!$C40)</f>
        <v>0</v>
      </c>
      <c r="L40">
        <f t="shared" si="8"/>
        <v>0</v>
      </c>
    </row>
    <row r="41" spans="1:35" x14ac:dyDescent="0.2">
      <c r="A41" s="1" t="s">
        <v>39</v>
      </c>
      <c r="B41" t="s">
        <v>180</v>
      </c>
      <c r="C41">
        <f>MATCH(Events!B41,'Medal Count'!C:C,0)</f>
        <v>42</v>
      </c>
      <c r="D41" s="5"/>
      <c r="E41" s="7"/>
      <c r="F41" s="3"/>
      <c r="G41" s="9">
        <f t="shared" si="0"/>
        <v>3</v>
      </c>
      <c r="H41">
        <v>4</v>
      </c>
      <c r="I41" cm="1">
        <f t="array" ref="I41">INDEX('Medal Count'!D:D,Events!$C41)</f>
        <v>0</v>
      </c>
      <c r="J41" cm="1">
        <f t="array" ref="J41">INDEX('Medal Count'!E:E,Events!$C41)</f>
        <v>0</v>
      </c>
      <c r="K41" cm="1">
        <f t="array" ref="K41">INDEX('Medal Count'!F:F,Events!$C41)</f>
        <v>0</v>
      </c>
      <c r="L41">
        <f t="shared" si="8"/>
        <v>0</v>
      </c>
    </row>
    <row r="42" spans="1:35" x14ac:dyDescent="0.2">
      <c r="A42" s="1" t="s">
        <v>40</v>
      </c>
      <c r="B42" t="s">
        <v>139</v>
      </c>
      <c r="C42">
        <f>MATCH(Events!B42,'Medal Count'!C:C,0)</f>
        <v>43</v>
      </c>
      <c r="D42" s="5">
        <v>2</v>
      </c>
      <c r="E42" s="7">
        <v>7</v>
      </c>
      <c r="F42" s="3">
        <v>8</v>
      </c>
      <c r="G42" s="9">
        <f t="shared" si="0"/>
        <v>28</v>
      </c>
      <c r="H42">
        <v>151</v>
      </c>
      <c r="I42" cm="1">
        <f t="array" ref="I42">INDEX('Medal Count'!D:D,Events!$C42)</f>
        <v>2</v>
      </c>
      <c r="J42" cm="1">
        <f t="array" ref="J42">INDEX('Medal Count'!E:E,Events!$C42)</f>
        <v>2</v>
      </c>
      <c r="K42" cm="1">
        <f t="array" ref="K42">INDEX('Medal Count'!F:F,Events!$C42)</f>
        <v>7</v>
      </c>
      <c r="L42">
        <f>SUM((I42*3)+(J42*2)+(K42*1))</f>
        <v>17</v>
      </c>
      <c r="N42">
        <v>1</v>
      </c>
      <c r="U42">
        <v>1</v>
      </c>
      <c r="W42">
        <v>1</v>
      </c>
      <c r="Y42">
        <v>1</v>
      </c>
      <c r="AI42">
        <v>1</v>
      </c>
    </row>
    <row r="43" spans="1:35" x14ac:dyDescent="0.2">
      <c r="A43" s="1" t="s">
        <v>41</v>
      </c>
      <c r="B43" t="s">
        <v>181</v>
      </c>
      <c r="C43">
        <f>MATCH(Events!B43,'Medal Count'!C:C,0)</f>
        <v>44</v>
      </c>
      <c r="D43" s="5"/>
      <c r="E43" s="7"/>
      <c r="F43" s="3"/>
      <c r="G43" s="9">
        <f t="shared" si="0"/>
        <v>3</v>
      </c>
      <c r="H43">
        <v>1</v>
      </c>
      <c r="I43" cm="1">
        <f t="array" ref="I43">INDEX('Medal Count'!D:D,Events!$C43)</f>
        <v>0</v>
      </c>
      <c r="J43" cm="1">
        <f t="array" ref="J43">INDEX('Medal Count'!E:E,Events!$C43)</f>
        <v>0</v>
      </c>
      <c r="K43" cm="1">
        <f t="array" ref="K43">INDEX('Medal Count'!F:F,Events!$C43)</f>
        <v>0</v>
      </c>
      <c r="L43">
        <f>(I43*3*2)+(J43*2*2)+(K43*1*2)</f>
        <v>0</v>
      </c>
      <c r="W43">
        <v>1</v>
      </c>
    </row>
    <row r="44" spans="1:35" x14ac:dyDescent="0.2">
      <c r="A44" s="1" t="s">
        <v>42</v>
      </c>
      <c r="B44" t="s">
        <v>182</v>
      </c>
      <c r="C44">
        <f>MATCH(Events!B44,'Medal Count'!C:C,0)</f>
        <v>45</v>
      </c>
      <c r="D44" s="5">
        <v>3</v>
      </c>
      <c r="E44" s="7">
        <v>7</v>
      </c>
      <c r="F44" s="3">
        <v>8</v>
      </c>
      <c r="G44" s="9">
        <f t="shared" si="0"/>
        <v>31</v>
      </c>
      <c r="H44">
        <v>67</v>
      </c>
      <c r="I44" cm="1">
        <f t="array" ref="I44">INDEX('Medal Count'!D:D,Events!$C44)</f>
        <v>2</v>
      </c>
      <c r="J44" cm="1">
        <f t="array" ref="J44">INDEX('Medal Count'!E:E,Events!$C44)</f>
        <v>2</v>
      </c>
      <c r="K44" cm="1">
        <f t="array" ref="K44">INDEX('Medal Count'!F:F,Events!$C44)</f>
        <v>4</v>
      </c>
      <c r="L44">
        <f>SUM((I44*3)+(J44*2)+(K44*1))</f>
        <v>14</v>
      </c>
      <c r="AI44">
        <v>1</v>
      </c>
    </row>
    <row r="45" spans="1:35" x14ac:dyDescent="0.2">
      <c r="A45" s="1" t="s">
        <v>43</v>
      </c>
      <c r="B45" t="s">
        <v>183</v>
      </c>
      <c r="C45">
        <f>MATCH(Events!B45,'Medal Count'!C:C,0)</f>
        <v>46</v>
      </c>
      <c r="D45" s="5"/>
      <c r="E45" s="7"/>
      <c r="F45" s="3"/>
      <c r="G45" s="9">
        <f t="shared" si="0"/>
        <v>3</v>
      </c>
      <c r="H45">
        <v>24</v>
      </c>
      <c r="I45" cm="1">
        <f t="array" ref="I45">INDEX('Medal Count'!D:D,Events!$C45)</f>
        <v>0</v>
      </c>
      <c r="J45" cm="1">
        <f t="array" ref="J45">INDEX('Medal Count'!E:E,Events!$C45)</f>
        <v>0</v>
      </c>
      <c r="K45" cm="1">
        <f t="array" ref="K45">INDEX('Medal Count'!F:F,Events!$C45)</f>
        <v>0</v>
      </c>
      <c r="L45">
        <f t="shared" ref="L45:L48" si="9">(I45*3*2)+(J45*2*2)+(K45*1*2)</f>
        <v>0</v>
      </c>
    </row>
    <row r="46" spans="1:35" x14ac:dyDescent="0.2">
      <c r="A46" s="1" t="s">
        <v>44</v>
      </c>
      <c r="B46" t="s">
        <v>184</v>
      </c>
      <c r="C46">
        <f>MATCH(Events!B46,'Medal Count'!C:C,0)</f>
        <v>47</v>
      </c>
      <c r="D46" s="5"/>
      <c r="E46" s="7"/>
      <c r="F46" s="3"/>
      <c r="G46" s="9">
        <f t="shared" si="0"/>
        <v>3</v>
      </c>
      <c r="H46">
        <v>1</v>
      </c>
      <c r="I46" cm="1">
        <f t="array" ref="I46">INDEX('Medal Count'!D:D,Events!$C46)</f>
        <v>0</v>
      </c>
      <c r="J46" cm="1">
        <f t="array" ref="J46">INDEX('Medal Count'!E:E,Events!$C46)</f>
        <v>0</v>
      </c>
      <c r="K46" cm="1">
        <f t="array" ref="K46">INDEX('Medal Count'!F:F,Events!$C46)</f>
        <v>0</v>
      </c>
      <c r="L46">
        <f t="shared" si="9"/>
        <v>0</v>
      </c>
    </row>
    <row r="47" spans="1:35" x14ac:dyDescent="0.2">
      <c r="A47" s="1" t="s">
        <v>45</v>
      </c>
      <c r="B47" t="s">
        <v>185</v>
      </c>
      <c r="C47">
        <f>MATCH(Events!B47,'Medal Count'!C:C,0)</f>
        <v>48</v>
      </c>
      <c r="D47" s="5"/>
      <c r="E47" s="7"/>
      <c r="F47" s="3"/>
      <c r="G47" s="9">
        <f t="shared" si="0"/>
        <v>3</v>
      </c>
      <c r="H47">
        <v>2</v>
      </c>
      <c r="I47" cm="1">
        <f t="array" ref="I47">INDEX('Medal Count'!D:D,Events!$C47)</f>
        <v>0</v>
      </c>
      <c r="J47" cm="1">
        <f t="array" ref="J47">INDEX('Medal Count'!E:E,Events!$C47)</f>
        <v>0</v>
      </c>
      <c r="K47" cm="1">
        <f t="array" ref="K47">INDEX('Medal Count'!F:F,Events!$C47)</f>
        <v>0</v>
      </c>
      <c r="L47">
        <f t="shared" si="9"/>
        <v>0</v>
      </c>
    </row>
    <row r="48" spans="1:35" x14ac:dyDescent="0.2">
      <c r="A48" s="1" t="s">
        <v>46</v>
      </c>
      <c r="B48" t="s">
        <v>186</v>
      </c>
      <c r="C48">
        <f>MATCH(Events!B48,'Medal Count'!C:C,0)</f>
        <v>49</v>
      </c>
      <c r="D48" s="5"/>
      <c r="E48" s="7"/>
      <c r="F48" s="3"/>
      <c r="G48" s="9">
        <f t="shared" si="0"/>
        <v>3</v>
      </c>
      <c r="H48">
        <v>2</v>
      </c>
      <c r="I48" cm="1">
        <f t="array" ref="I48">INDEX('Medal Count'!D:D,Events!$C48)</f>
        <v>0</v>
      </c>
      <c r="J48" cm="1">
        <f t="array" ref="J48">INDEX('Medal Count'!E:E,Events!$C48)</f>
        <v>0</v>
      </c>
      <c r="K48" cm="1">
        <f t="array" ref="K48">INDEX('Medal Count'!F:F,Events!$C48)</f>
        <v>0</v>
      </c>
      <c r="L48">
        <f t="shared" si="9"/>
        <v>0</v>
      </c>
    </row>
    <row r="49" spans="1:35" x14ac:dyDescent="0.2">
      <c r="A49" s="1" t="s">
        <v>47</v>
      </c>
      <c r="B49" t="s">
        <v>187</v>
      </c>
      <c r="C49">
        <f>MATCH(Events!B49,'Medal Count'!C:C,0)</f>
        <v>50</v>
      </c>
      <c r="D49" s="5">
        <v>0</v>
      </c>
      <c r="E49" s="7">
        <v>0</v>
      </c>
      <c r="F49" s="3">
        <v>1</v>
      </c>
      <c r="G49" s="9">
        <f t="shared" si="0"/>
        <v>1</v>
      </c>
      <c r="H49">
        <v>45</v>
      </c>
      <c r="I49" cm="1">
        <f t="array" ref="I49">INDEX('Medal Count'!D:D,Events!$C49)</f>
        <v>0</v>
      </c>
      <c r="J49" cm="1">
        <f t="array" ref="J49">INDEX('Medal Count'!E:E,Events!$C49)</f>
        <v>1</v>
      </c>
      <c r="K49" cm="1">
        <f t="array" ref="K49">INDEX('Medal Count'!F:F,Events!$C49)</f>
        <v>0</v>
      </c>
      <c r="L49">
        <f>SUM((I49*3)+(J49*2)+(K49*1))</f>
        <v>2</v>
      </c>
      <c r="T49">
        <v>1</v>
      </c>
      <c r="V49">
        <v>1</v>
      </c>
      <c r="Y49">
        <v>1</v>
      </c>
      <c r="AE49">
        <v>1</v>
      </c>
    </row>
    <row r="50" spans="1:35" x14ac:dyDescent="0.2">
      <c r="A50" s="1" t="s">
        <v>48</v>
      </c>
      <c r="B50" t="s">
        <v>188</v>
      </c>
      <c r="C50">
        <f>MATCH(Events!B50,'Medal Count'!C:C,0)</f>
        <v>51</v>
      </c>
      <c r="D50" s="5"/>
      <c r="E50" s="7"/>
      <c r="F50" s="3"/>
      <c r="G50" s="9">
        <f t="shared" si="0"/>
        <v>3</v>
      </c>
      <c r="H50">
        <v>3</v>
      </c>
      <c r="I50" cm="1">
        <f t="array" ref="I50">INDEX('Medal Count'!D:D,Events!$C50)</f>
        <v>0</v>
      </c>
      <c r="J50" cm="1">
        <f t="array" ref="J50">INDEX('Medal Count'!E:E,Events!$C50)</f>
        <v>0</v>
      </c>
      <c r="K50" cm="1">
        <f t="array" ref="K50">INDEX('Medal Count'!F:F,Events!$C50)</f>
        <v>0</v>
      </c>
      <c r="L50">
        <f t="shared" ref="L50:L62" si="10">(I50*3*2)+(J50*2*2)+(K50*1*2)</f>
        <v>0</v>
      </c>
    </row>
    <row r="51" spans="1:35" x14ac:dyDescent="0.2">
      <c r="A51" s="1" t="s">
        <v>49</v>
      </c>
      <c r="B51" t="s">
        <v>189</v>
      </c>
      <c r="C51">
        <f>MATCH(Events!B51,'Medal Count'!C:C,0)</f>
        <v>52</v>
      </c>
      <c r="D51" s="5"/>
      <c r="E51" s="7"/>
      <c r="F51" s="3"/>
      <c r="G51" s="9">
        <f t="shared" si="0"/>
        <v>3</v>
      </c>
      <c r="H51">
        <v>4</v>
      </c>
      <c r="I51" cm="1">
        <f t="array" ref="I51">INDEX('Medal Count'!D:D,Events!$C51)</f>
        <v>0</v>
      </c>
      <c r="J51" cm="1">
        <f t="array" ref="J51">INDEX('Medal Count'!E:E,Events!$C51)</f>
        <v>0</v>
      </c>
      <c r="K51" cm="1">
        <f t="array" ref="K51">INDEX('Medal Count'!F:F,Events!$C51)</f>
        <v>0</v>
      </c>
      <c r="L51">
        <f t="shared" si="10"/>
        <v>0</v>
      </c>
    </row>
    <row r="52" spans="1:35" x14ac:dyDescent="0.2">
      <c r="A52" s="1" t="s">
        <v>50</v>
      </c>
      <c r="B52" t="s">
        <v>190</v>
      </c>
      <c r="C52">
        <f>MATCH(Events!B52,'Medal Count'!C:C,0)</f>
        <v>53</v>
      </c>
      <c r="D52" s="5"/>
      <c r="E52" s="7"/>
      <c r="F52" s="3"/>
      <c r="G52" s="9">
        <f t="shared" si="0"/>
        <v>3</v>
      </c>
      <c r="H52">
        <v>17</v>
      </c>
      <c r="I52" cm="1">
        <f t="array" ref="I52">INDEX('Medal Count'!D:D,Events!$C52)</f>
        <v>0</v>
      </c>
      <c r="J52" cm="1">
        <f t="array" ref="J52">INDEX('Medal Count'!E:E,Events!$C52)</f>
        <v>0</v>
      </c>
      <c r="K52" cm="1">
        <f t="array" ref="K52">INDEX('Medal Count'!F:F,Events!$C52)</f>
        <v>0</v>
      </c>
      <c r="L52">
        <f t="shared" si="10"/>
        <v>0</v>
      </c>
      <c r="S52">
        <v>1</v>
      </c>
    </row>
    <row r="53" spans="1:35" x14ac:dyDescent="0.2">
      <c r="A53" s="1" t="s">
        <v>51</v>
      </c>
      <c r="B53" t="s">
        <v>191</v>
      </c>
      <c r="C53">
        <f>MATCH(Events!B53,'Medal Count'!C:C,0)</f>
        <v>54</v>
      </c>
      <c r="D53" s="5"/>
      <c r="E53" s="7"/>
      <c r="F53" s="3"/>
      <c r="G53" s="9">
        <f t="shared" si="0"/>
        <v>3</v>
      </c>
      <c r="H53">
        <v>2</v>
      </c>
      <c r="I53" cm="1">
        <f t="array" ref="I53">INDEX('Medal Count'!D:D,Events!$C53)</f>
        <v>0</v>
      </c>
      <c r="J53" cm="1">
        <f t="array" ref="J53">INDEX('Medal Count'!E:E,Events!$C53)</f>
        <v>0</v>
      </c>
      <c r="K53" cm="1">
        <f t="array" ref="K53">INDEX('Medal Count'!F:F,Events!$C53)</f>
        <v>0</v>
      </c>
      <c r="L53">
        <f t="shared" si="10"/>
        <v>0</v>
      </c>
    </row>
    <row r="54" spans="1:35" x14ac:dyDescent="0.2">
      <c r="A54" s="1" t="s">
        <v>52</v>
      </c>
      <c r="B54" t="s">
        <v>192</v>
      </c>
      <c r="C54">
        <f>MATCH(Events!B54,'Medal Count'!C:C,0)</f>
        <v>55</v>
      </c>
      <c r="D54" s="5"/>
      <c r="E54" s="7"/>
      <c r="F54" s="3"/>
      <c r="G54" s="9">
        <f t="shared" si="0"/>
        <v>3</v>
      </c>
      <c r="H54">
        <v>2</v>
      </c>
      <c r="I54" cm="1">
        <f t="array" ref="I54">INDEX('Medal Count'!D:D,Events!$C54)</f>
        <v>0</v>
      </c>
      <c r="J54" cm="1">
        <f t="array" ref="J54">INDEX('Medal Count'!E:E,Events!$C54)</f>
        <v>0</v>
      </c>
      <c r="K54" cm="1">
        <f t="array" ref="K54">INDEX('Medal Count'!F:F,Events!$C54)</f>
        <v>0</v>
      </c>
      <c r="L54">
        <f t="shared" si="10"/>
        <v>0</v>
      </c>
    </row>
    <row r="55" spans="1:35" x14ac:dyDescent="0.2">
      <c r="A55" s="1" t="s">
        <v>53</v>
      </c>
      <c r="B55" t="s">
        <v>193</v>
      </c>
      <c r="C55">
        <f>MATCH(Events!B55,'Medal Count'!C:C,0)</f>
        <v>56</v>
      </c>
      <c r="D55" s="5"/>
      <c r="E55" s="7"/>
      <c r="F55" s="3"/>
      <c r="G55" s="9">
        <f t="shared" si="0"/>
        <v>3</v>
      </c>
      <c r="H55">
        <v>1</v>
      </c>
      <c r="I55" cm="1">
        <f t="array" ref="I55">INDEX('Medal Count'!D:D,Events!$C55)</f>
        <v>0</v>
      </c>
      <c r="J55" cm="1">
        <f t="array" ref="J55">INDEX('Medal Count'!E:E,Events!$C55)</f>
        <v>0</v>
      </c>
      <c r="K55" cm="1">
        <f t="array" ref="K55">INDEX('Medal Count'!F:F,Events!$C55)</f>
        <v>0</v>
      </c>
      <c r="L55">
        <f t="shared" si="10"/>
        <v>0</v>
      </c>
    </row>
    <row r="56" spans="1:35" x14ac:dyDescent="0.2">
      <c r="A56" s="1" t="s">
        <v>54</v>
      </c>
      <c r="B56" t="s">
        <v>194</v>
      </c>
      <c r="C56">
        <f>MATCH(Events!B56,'Medal Count'!C:C,0)</f>
        <v>57</v>
      </c>
      <c r="D56" s="5"/>
      <c r="E56" s="7"/>
      <c r="F56" s="3"/>
      <c r="G56" s="9">
        <f t="shared" si="0"/>
        <v>3</v>
      </c>
      <c r="H56">
        <v>1</v>
      </c>
      <c r="I56" cm="1">
        <f t="array" ref="I56">INDEX('Medal Count'!D:D,Events!$C56)</f>
        <v>0</v>
      </c>
      <c r="J56" cm="1">
        <f t="array" ref="J56">INDEX('Medal Count'!E:E,Events!$C56)</f>
        <v>0</v>
      </c>
      <c r="K56" cm="1">
        <f t="array" ref="K56">INDEX('Medal Count'!F:F,Events!$C56)</f>
        <v>0</v>
      </c>
      <c r="L56">
        <f t="shared" si="10"/>
        <v>0</v>
      </c>
    </row>
    <row r="57" spans="1:35" x14ac:dyDescent="0.2">
      <c r="A57" s="1" t="s">
        <v>55</v>
      </c>
      <c r="B57" t="s">
        <v>195</v>
      </c>
      <c r="C57">
        <f>MATCH(Events!B57,'Medal Count'!C:C,0)</f>
        <v>58</v>
      </c>
      <c r="D57" s="5"/>
      <c r="E57" s="7"/>
      <c r="F57" s="3"/>
      <c r="G57" s="9">
        <f t="shared" si="0"/>
        <v>3</v>
      </c>
      <c r="H57">
        <v>5</v>
      </c>
      <c r="I57" cm="1">
        <f t="array" ref="I57">INDEX('Medal Count'!D:D,Events!$C57)</f>
        <v>0</v>
      </c>
      <c r="J57" cm="1">
        <f t="array" ref="J57">INDEX('Medal Count'!E:E,Events!$C57)</f>
        <v>0</v>
      </c>
      <c r="K57" cm="1">
        <f t="array" ref="K57">INDEX('Medal Count'!F:F,Events!$C57)</f>
        <v>0</v>
      </c>
      <c r="L57">
        <f t="shared" si="10"/>
        <v>0</v>
      </c>
    </row>
    <row r="58" spans="1:35" x14ac:dyDescent="0.2">
      <c r="A58" s="1" t="s">
        <v>56</v>
      </c>
      <c r="B58" t="s">
        <v>196</v>
      </c>
      <c r="C58">
        <f>MATCH(Events!B58,'Medal Count'!C:C,0)</f>
        <v>59</v>
      </c>
      <c r="D58" s="5"/>
      <c r="E58" s="7"/>
      <c r="F58" s="3"/>
      <c r="G58" s="9">
        <f t="shared" si="0"/>
        <v>3</v>
      </c>
      <c r="H58">
        <v>2</v>
      </c>
      <c r="I58" cm="1">
        <f t="array" ref="I58">INDEX('Medal Count'!D:D,Events!$C58)</f>
        <v>0</v>
      </c>
      <c r="J58" cm="1">
        <f t="array" ref="J58">INDEX('Medal Count'!E:E,Events!$C58)</f>
        <v>0</v>
      </c>
      <c r="K58" cm="1">
        <f t="array" ref="K58">INDEX('Medal Count'!F:F,Events!$C58)</f>
        <v>0</v>
      </c>
      <c r="L58">
        <f t="shared" si="10"/>
        <v>0</v>
      </c>
    </row>
    <row r="59" spans="1:35" x14ac:dyDescent="0.2">
      <c r="A59" s="1" t="s">
        <v>57</v>
      </c>
      <c r="B59" t="s">
        <v>197</v>
      </c>
      <c r="C59">
        <f>MATCH(Events!B59,'Medal Count'!C:C,0)</f>
        <v>60</v>
      </c>
      <c r="D59" s="5"/>
      <c r="E59" s="7"/>
      <c r="F59" s="3"/>
      <c r="G59" s="9">
        <f t="shared" si="0"/>
        <v>3</v>
      </c>
      <c r="H59">
        <v>1</v>
      </c>
      <c r="I59" cm="1">
        <f t="array" ref="I59">INDEX('Medal Count'!D:D,Events!$C59)</f>
        <v>0</v>
      </c>
      <c r="J59" cm="1">
        <f t="array" ref="J59">INDEX('Medal Count'!E:E,Events!$C59)</f>
        <v>0</v>
      </c>
      <c r="K59" cm="1">
        <f t="array" ref="K59">INDEX('Medal Count'!F:F,Events!$C59)</f>
        <v>0</v>
      </c>
      <c r="L59">
        <f t="shared" si="10"/>
        <v>0</v>
      </c>
    </row>
    <row r="60" spans="1:35" x14ac:dyDescent="0.2">
      <c r="A60" s="1" t="s">
        <v>58</v>
      </c>
      <c r="B60" t="s">
        <v>198</v>
      </c>
      <c r="C60">
        <f>MATCH(Events!B60,'Medal Count'!C:C,0)</f>
        <v>61</v>
      </c>
      <c r="D60" s="5"/>
      <c r="E60" s="7"/>
      <c r="F60" s="3"/>
      <c r="G60" s="9">
        <f t="shared" si="0"/>
        <v>3</v>
      </c>
      <c r="H60">
        <v>3</v>
      </c>
      <c r="I60" cm="1">
        <f t="array" ref="I60">INDEX('Medal Count'!D:D,Events!$C60)</f>
        <v>0</v>
      </c>
      <c r="J60" cm="1">
        <f t="array" ref="J60">INDEX('Medal Count'!E:E,Events!$C60)</f>
        <v>0</v>
      </c>
      <c r="K60" cm="1">
        <f t="array" ref="K60">INDEX('Medal Count'!F:F,Events!$C60)</f>
        <v>0</v>
      </c>
      <c r="L60">
        <f t="shared" si="10"/>
        <v>0</v>
      </c>
    </row>
    <row r="61" spans="1:35" x14ac:dyDescent="0.2">
      <c r="A61" s="1" t="s">
        <v>59</v>
      </c>
      <c r="B61" t="s">
        <v>199</v>
      </c>
      <c r="C61">
        <f>MATCH(Events!B61,'Medal Count'!C:C,0)</f>
        <v>62</v>
      </c>
      <c r="D61" s="5"/>
      <c r="E61" s="7"/>
      <c r="F61" s="3"/>
      <c r="G61" s="9">
        <f t="shared" si="0"/>
        <v>3</v>
      </c>
      <c r="H61">
        <v>2</v>
      </c>
      <c r="I61" cm="1">
        <f t="array" ref="I61">INDEX('Medal Count'!D:D,Events!$C61)</f>
        <v>0</v>
      </c>
      <c r="J61" cm="1">
        <f t="array" ref="J61">INDEX('Medal Count'!E:E,Events!$C61)</f>
        <v>0</v>
      </c>
      <c r="K61" cm="1">
        <f t="array" ref="K61">INDEX('Medal Count'!F:F,Events!$C61)</f>
        <v>0</v>
      </c>
      <c r="L61">
        <f t="shared" si="10"/>
        <v>0</v>
      </c>
    </row>
    <row r="62" spans="1:35" x14ac:dyDescent="0.2">
      <c r="A62" s="1" t="s">
        <v>60</v>
      </c>
      <c r="B62" t="s">
        <v>200</v>
      </c>
      <c r="C62">
        <f>MATCH(Events!B62,'Medal Count'!C:C,0)</f>
        <v>63</v>
      </c>
      <c r="D62" s="5"/>
      <c r="E62" s="7"/>
      <c r="F62" s="3"/>
      <c r="G62" s="9">
        <f t="shared" si="0"/>
        <v>3</v>
      </c>
      <c r="H62">
        <v>2</v>
      </c>
      <c r="I62" cm="1">
        <f t="array" ref="I62">INDEX('Medal Count'!D:D,Events!$C62)</f>
        <v>0</v>
      </c>
      <c r="J62" cm="1">
        <f t="array" ref="J62">INDEX('Medal Count'!E:E,Events!$C62)</f>
        <v>0</v>
      </c>
      <c r="K62" cm="1">
        <f t="array" ref="K62">INDEX('Medal Count'!F:F,Events!$C62)</f>
        <v>0</v>
      </c>
      <c r="L62">
        <f t="shared" si="10"/>
        <v>0</v>
      </c>
    </row>
    <row r="63" spans="1:35" x14ac:dyDescent="0.2">
      <c r="A63" s="1" t="s">
        <v>61</v>
      </c>
      <c r="B63" t="s">
        <v>201</v>
      </c>
      <c r="C63">
        <f>MATCH(Events!B63,'Medal Count'!C:C,0)</f>
        <v>64</v>
      </c>
      <c r="D63" s="5">
        <v>8</v>
      </c>
      <c r="E63" s="7">
        <v>5</v>
      </c>
      <c r="F63" s="3">
        <v>4</v>
      </c>
      <c r="G63" s="9">
        <f t="shared" si="0"/>
        <v>38</v>
      </c>
      <c r="H63">
        <v>32</v>
      </c>
      <c r="I63" cm="1">
        <f t="array" ref="I63">INDEX('Medal Count'!D:D,Events!$C63)</f>
        <v>1</v>
      </c>
      <c r="J63" cm="1">
        <f t="array" ref="J63">INDEX('Medal Count'!E:E,Events!$C63)</f>
        <v>1</v>
      </c>
      <c r="K63" cm="1">
        <f t="array" ref="K63">INDEX('Medal Count'!F:F,Events!$C63)</f>
        <v>0</v>
      </c>
      <c r="L63">
        <f t="shared" ref="L63:L64" si="11">SUM((I63*3)+(J63*2)+(K63*1))</f>
        <v>5</v>
      </c>
      <c r="M63">
        <v>1</v>
      </c>
      <c r="N63">
        <v>1</v>
      </c>
      <c r="P63">
        <v>1</v>
      </c>
      <c r="T63">
        <v>1</v>
      </c>
      <c r="W63">
        <v>1</v>
      </c>
      <c r="AI63">
        <v>1</v>
      </c>
    </row>
    <row r="64" spans="1:35" x14ac:dyDescent="0.2">
      <c r="A64" s="1" t="s">
        <v>62</v>
      </c>
      <c r="B64" t="s">
        <v>202</v>
      </c>
      <c r="C64">
        <f>MATCH(Events!B64,'Medal Count'!C:C,0)</f>
        <v>65</v>
      </c>
      <c r="D64" s="5">
        <v>2</v>
      </c>
      <c r="E64" s="7">
        <v>1</v>
      </c>
      <c r="F64" s="3">
        <v>0</v>
      </c>
      <c r="G64" s="9">
        <f t="shared" si="0"/>
        <v>8</v>
      </c>
      <c r="H64">
        <v>2</v>
      </c>
      <c r="I64" cm="1">
        <f t="array" ref="I64">INDEX('Medal Count'!D:D,Events!$C64)</f>
        <v>0</v>
      </c>
      <c r="J64" cm="1">
        <f t="array" ref="J64">INDEX('Medal Count'!E:E,Events!$C64)</f>
        <v>1</v>
      </c>
      <c r="K64" cm="1">
        <f t="array" ref="K64">INDEX('Medal Count'!F:F,Events!$C64)</f>
        <v>1</v>
      </c>
      <c r="L64">
        <f t="shared" si="11"/>
        <v>3</v>
      </c>
      <c r="U64">
        <v>1</v>
      </c>
    </row>
    <row r="65" spans="1:33" x14ac:dyDescent="0.2">
      <c r="A65" s="1" t="s">
        <v>63</v>
      </c>
      <c r="B65" t="s">
        <v>203</v>
      </c>
      <c r="C65">
        <f>MATCH(Events!B65,'Medal Count'!C:C,0)</f>
        <v>66</v>
      </c>
      <c r="D65" s="5"/>
      <c r="E65" s="7"/>
      <c r="F65" s="3"/>
      <c r="G65" s="9">
        <f t="shared" si="0"/>
        <v>3</v>
      </c>
      <c r="H65">
        <v>1</v>
      </c>
      <c r="I65" cm="1">
        <f t="array" ref="I65">INDEX('Medal Count'!D:D,Events!$C65)</f>
        <v>0</v>
      </c>
      <c r="J65" cm="1">
        <f t="array" ref="J65">INDEX('Medal Count'!E:E,Events!$C65)</f>
        <v>0</v>
      </c>
      <c r="K65" cm="1">
        <f t="array" ref="K65">INDEX('Medal Count'!F:F,Events!$C65)</f>
        <v>0</v>
      </c>
      <c r="L65">
        <f t="shared" ref="L65:L66" si="12">(I65*3*2)+(J65*2*2)+(K65*1*2)</f>
        <v>0</v>
      </c>
    </row>
    <row r="66" spans="1:33" x14ac:dyDescent="0.2">
      <c r="A66" s="1" t="s">
        <v>64</v>
      </c>
      <c r="B66" t="s">
        <v>204</v>
      </c>
      <c r="C66">
        <f>MATCH(Events!B66,'Medal Count'!C:C,0)</f>
        <v>67</v>
      </c>
      <c r="D66" s="5"/>
      <c r="E66" s="7"/>
      <c r="F66" s="3"/>
      <c r="G66" s="9">
        <f t="shared" si="0"/>
        <v>3</v>
      </c>
      <c r="H66">
        <v>4</v>
      </c>
      <c r="I66" cm="1">
        <f t="array" ref="I66">INDEX('Medal Count'!D:D,Events!$C66)</f>
        <v>0</v>
      </c>
      <c r="J66" cm="1">
        <f t="array" ref="J66">INDEX('Medal Count'!E:E,Events!$C66)</f>
        <v>0</v>
      </c>
      <c r="K66" cm="1">
        <f t="array" ref="K66">INDEX('Medal Count'!F:F,Events!$C66)</f>
        <v>0</v>
      </c>
      <c r="L66">
        <f t="shared" si="12"/>
        <v>0</v>
      </c>
    </row>
    <row r="67" spans="1:33" x14ac:dyDescent="0.2">
      <c r="A67" s="1" t="s">
        <v>65</v>
      </c>
      <c r="B67" t="s">
        <v>140</v>
      </c>
      <c r="C67">
        <f>MATCH(Events!B67,'Medal Count'!C:C,0)</f>
        <v>68</v>
      </c>
      <c r="D67" s="5">
        <v>16</v>
      </c>
      <c r="E67" s="7">
        <v>8</v>
      </c>
      <c r="F67" s="3">
        <v>13</v>
      </c>
      <c r="G67" s="9">
        <f t="shared" ref="G67:G93" si="13">IF(SUM((D67*3)+(E67*2)+(F67*1))&gt;0,SUM((D67*3)+(E67*2)+(F67*1)),3)</f>
        <v>77</v>
      </c>
      <c r="H67">
        <v>51</v>
      </c>
      <c r="I67" cm="1">
        <f t="array" ref="I67">INDEX('Medal Count'!D:D,Events!$C67)</f>
        <v>7</v>
      </c>
      <c r="J67" cm="1">
        <f t="array" ref="J67">INDEX('Medal Count'!E:E,Events!$C67)</f>
        <v>2</v>
      </c>
      <c r="K67" cm="1">
        <f t="array" ref="K67">INDEX('Medal Count'!F:F,Events!$C67)</f>
        <v>4</v>
      </c>
      <c r="L67">
        <f>SUM((I67*3)+(J67*2)+(K67*1))</f>
        <v>29</v>
      </c>
      <c r="O67">
        <v>1</v>
      </c>
      <c r="Q67">
        <v>1</v>
      </c>
      <c r="R67">
        <v>1</v>
      </c>
      <c r="S67">
        <v>1</v>
      </c>
      <c r="AF67">
        <v>1</v>
      </c>
    </row>
    <row r="68" spans="1:33" x14ac:dyDescent="0.2">
      <c r="A68" s="1" t="s">
        <v>66</v>
      </c>
      <c r="B68" t="s">
        <v>205</v>
      </c>
      <c r="C68">
        <f>MATCH(Events!B68,'Medal Count'!C:C,0)</f>
        <v>69</v>
      </c>
      <c r="D68" s="5"/>
      <c r="E68" s="7"/>
      <c r="F68" s="3"/>
      <c r="G68" s="9">
        <f t="shared" si="13"/>
        <v>3</v>
      </c>
      <c r="H68">
        <v>1</v>
      </c>
      <c r="I68" cm="1">
        <f t="array" ref="I68">INDEX('Medal Count'!D:D,Events!$C68)</f>
        <v>0</v>
      </c>
      <c r="J68" cm="1">
        <f t="array" ref="J68">INDEX('Medal Count'!E:E,Events!$C68)</f>
        <v>0</v>
      </c>
      <c r="K68" cm="1">
        <f t="array" ref="K68">INDEX('Medal Count'!F:F,Events!$C68)</f>
        <v>0</v>
      </c>
      <c r="L68">
        <f t="shared" ref="L68:L69" si="14">(I68*3*2)+(J68*2*2)+(K68*1*2)</f>
        <v>0</v>
      </c>
    </row>
    <row r="69" spans="1:33" x14ac:dyDescent="0.2">
      <c r="A69" s="1" t="s">
        <v>67</v>
      </c>
      <c r="B69" t="s">
        <v>206</v>
      </c>
      <c r="C69">
        <f>MATCH(Events!B69,'Medal Count'!C:C,0)</f>
        <v>70</v>
      </c>
      <c r="D69" s="5"/>
      <c r="E69" s="7"/>
      <c r="F69" s="3"/>
      <c r="G69" s="9">
        <f t="shared" si="13"/>
        <v>3</v>
      </c>
      <c r="H69">
        <v>2</v>
      </c>
      <c r="I69" cm="1">
        <f t="array" ref="I69">INDEX('Medal Count'!D:D,Events!$C69)</f>
        <v>0</v>
      </c>
      <c r="J69" cm="1">
        <f t="array" ref="J69">INDEX('Medal Count'!E:E,Events!$C69)</f>
        <v>0</v>
      </c>
      <c r="K69" cm="1">
        <f t="array" ref="K69">INDEX('Medal Count'!F:F,Events!$C69)</f>
        <v>0</v>
      </c>
      <c r="L69">
        <f t="shared" si="14"/>
        <v>0</v>
      </c>
    </row>
    <row r="70" spans="1:33" x14ac:dyDescent="0.2">
      <c r="A70" s="1" t="s">
        <v>68</v>
      </c>
      <c r="B70" t="s">
        <v>207</v>
      </c>
      <c r="C70">
        <f>MATCH(Events!B70,'Medal Count'!C:C,0)</f>
        <v>71</v>
      </c>
      <c r="D70" s="5">
        <v>0</v>
      </c>
      <c r="E70" s="7">
        <v>0</v>
      </c>
      <c r="F70" s="3">
        <v>1</v>
      </c>
      <c r="G70" s="9">
        <f t="shared" si="13"/>
        <v>1</v>
      </c>
      <c r="H70">
        <v>36</v>
      </c>
      <c r="I70" cm="1">
        <f t="array" ref="I70">INDEX('Medal Count'!D:D,Events!$C70)</f>
        <v>0</v>
      </c>
      <c r="J70" cm="1">
        <f t="array" ref="J70">INDEX('Medal Count'!E:E,Events!$C70)</f>
        <v>1</v>
      </c>
      <c r="K70" cm="1">
        <f t="array" ref="K70">INDEX('Medal Count'!F:F,Events!$C70)</f>
        <v>0</v>
      </c>
      <c r="L70">
        <f>SUM((I70*3)+(J70*2)+(K70*1))</f>
        <v>2</v>
      </c>
      <c r="O70">
        <v>1</v>
      </c>
      <c r="Q70">
        <v>1</v>
      </c>
      <c r="V70">
        <v>1</v>
      </c>
      <c r="Z70">
        <v>1</v>
      </c>
      <c r="AE70">
        <v>1</v>
      </c>
      <c r="AG70">
        <v>1</v>
      </c>
    </row>
    <row r="71" spans="1:33" x14ac:dyDescent="0.2">
      <c r="A71" s="1" t="s">
        <v>69</v>
      </c>
      <c r="B71" t="s">
        <v>208</v>
      </c>
      <c r="C71">
        <f>MATCH(Events!B71,'Medal Count'!C:C,0)</f>
        <v>72</v>
      </c>
      <c r="D71" s="5"/>
      <c r="E71" s="7"/>
      <c r="F71" s="3"/>
      <c r="G71" s="9">
        <f t="shared" si="13"/>
        <v>3</v>
      </c>
      <c r="H71">
        <v>4</v>
      </c>
      <c r="I71" cm="1">
        <f t="array" ref="I71">INDEX('Medal Count'!D:D,Events!$C71)</f>
        <v>0</v>
      </c>
      <c r="J71" cm="1">
        <f t="array" ref="J71">INDEX('Medal Count'!E:E,Events!$C71)</f>
        <v>0</v>
      </c>
      <c r="K71" cm="1">
        <f t="array" ref="K71">INDEX('Medal Count'!F:F,Events!$C71)</f>
        <v>0</v>
      </c>
      <c r="L71">
        <f t="shared" ref="L71:L76" si="15">(I71*3*2)+(J71*2*2)+(K71*1*2)</f>
        <v>0</v>
      </c>
    </row>
    <row r="72" spans="1:33" x14ac:dyDescent="0.2">
      <c r="A72" s="1" t="s">
        <v>70</v>
      </c>
      <c r="B72" t="s">
        <v>210</v>
      </c>
      <c r="C72">
        <f>MATCH(Events!B72,'Medal Count'!C:C,0)</f>
        <v>74</v>
      </c>
      <c r="D72" s="5"/>
      <c r="E72" s="7"/>
      <c r="F72" s="3"/>
      <c r="G72" s="9">
        <f t="shared" si="13"/>
        <v>3</v>
      </c>
      <c r="H72">
        <v>10</v>
      </c>
      <c r="I72" cm="1">
        <f t="array" ref="I72">INDEX('Medal Count'!D:D,Events!$C72)</f>
        <v>0</v>
      </c>
      <c r="J72" cm="1">
        <f t="array" ref="J72">INDEX('Medal Count'!E:E,Events!$C72)</f>
        <v>0</v>
      </c>
      <c r="K72" cm="1">
        <f t="array" ref="K72">INDEX('Medal Count'!F:F,Events!$C72)</f>
        <v>0</v>
      </c>
      <c r="L72">
        <f t="shared" si="15"/>
        <v>0</v>
      </c>
      <c r="X72">
        <v>1</v>
      </c>
    </row>
    <row r="73" spans="1:33" x14ac:dyDescent="0.2">
      <c r="A73" s="1" t="s">
        <v>71</v>
      </c>
      <c r="B73" t="s">
        <v>211</v>
      </c>
      <c r="C73">
        <f>MATCH(Events!B73,'Medal Count'!C:C,0)</f>
        <v>75</v>
      </c>
      <c r="D73" s="5"/>
      <c r="E73" s="7"/>
      <c r="F73" s="3"/>
      <c r="G73" s="9">
        <f t="shared" si="13"/>
        <v>3</v>
      </c>
      <c r="H73">
        <v>1</v>
      </c>
      <c r="I73" cm="1">
        <f t="array" ref="I73">INDEX('Medal Count'!D:D,Events!$C73)</f>
        <v>0</v>
      </c>
      <c r="J73" cm="1">
        <f t="array" ref="J73">INDEX('Medal Count'!E:E,Events!$C73)</f>
        <v>0</v>
      </c>
      <c r="K73" cm="1">
        <f t="array" ref="K73">INDEX('Medal Count'!F:F,Events!$C73)</f>
        <v>0</v>
      </c>
      <c r="L73">
        <f t="shared" si="15"/>
        <v>0</v>
      </c>
    </row>
    <row r="74" spans="1:33" x14ac:dyDescent="0.2">
      <c r="A74" s="1" t="s">
        <v>72</v>
      </c>
      <c r="B74" t="s">
        <v>212</v>
      </c>
      <c r="C74">
        <f>MATCH(Events!B74,'Medal Count'!C:C,0)</f>
        <v>76</v>
      </c>
      <c r="D74" s="5"/>
      <c r="E74" s="7"/>
      <c r="F74" s="3"/>
      <c r="G74" s="9">
        <f t="shared" si="13"/>
        <v>3</v>
      </c>
      <c r="H74">
        <v>2</v>
      </c>
      <c r="I74" cm="1">
        <f t="array" ref="I74">INDEX('Medal Count'!D:D,Events!$C74)</f>
        <v>0</v>
      </c>
      <c r="J74" cm="1">
        <f t="array" ref="J74">INDEX('Medal Count'!E:E,Events!$C74)</f>
        <v>0</v>
      </c>
      <c r="K74" cm="1">
        <f t="array" ref="K74">INDEX('Medal Count'!F:F,Events!$C74)</f>
        <v>0</v>
      </c>
      <c r="L74">
        <f t="shared" si="15"/>
        <v>0</v>
      </c>
    </row>
    <row r="75" spans="1:33" x14ac:dyDescent="0.2">
      <c r="A75" s="1" t="s">
        <v>73</v>
      </c>
      <c r="B75" t="s">
        <v>213</v>
      </c>
      <c r="C75">
        <f>MATCH(Events!B75,'Medal Count'!C:C,0)</f>
        <v>77</v>
      </c>
      <c r="D75" s="5"/>
      <c r="E75" s="7"/>
      <c r="F75" s="3"/>
      <c r="G75" s="9">
        <f t="shared" si="13"/>
        <v>3</v>
      </c>
      <c r="H75">
        <v>4</v>
      </c>
      <c r="I75" cm="1">
        <f t="array" ref="I75">INDEX('Medal Count'!D:D,Events!$C75)</f>
        <v>0</v>
      </c>
      <c r="J75" cm="1">
        <f t="array" ref="J75">INDEX('Medal Count'!E:E,Events!$C75)</f>
        <v>0</v>
      </c>
      <c r="K75" cm="1">
        <f t="array" ref="K75">INDEX('Medal Count'!F:F,Events!$C75)</f>
        <v>0</v>
      </c>
      <c r="L75">
        <f t="shared" si="15"/>
        <v>0</v>
      </c>
    </row>
    <row r="76" spans="1:33" x14ac:dyDescent="0.2">
      <c r="A76" s="1" t="s">
        <v>74</v>
      </c>
      <c r="B76" t="s">
        <v>214</v>
      </c>
      <c r="C76">
        <f>MATCH(Events!B76,'Medal Count'!C:C,0)</f>
        <v>78</v>
      </c>
      <c r="D76" s="5"/>
      <c r="E76" s="7"/>
      <c r="F76" s="3"/>
      <c r="G76" s="9">
        <f t="shared" si="13"/>
        <v>3</v>
      </c>
      <c r="H76">
        <v>1</v>
      </c>
      <c r="I76" cm="1">
        <f t="array" ref="I76">INDEX('Medal Count'!D:D,Events!$C76)</f>
        <v>0</v>
      </c>
      <c r="J76" cm="1">
        <f t="array" ref="J76">INDEX('Medal Count'!E:E,Events!$C76)</f>
        <v>0</v>
      </c>
      <c r="K76" cm="1">
        <f t="array" ref="K76">INDEX('Medal Count'!F:F,Events!$C76)</f>
        <v>0</v>
      </c>
      <c r="L76">
        <f t="shared" si="15"/>
        <v>0</v>
      </c>
    </row>
    <row r="77" spans="1:33" x14ac:dyDescent="0.2">
      <c r="A77" s="1" t="s">
        <v>75</v>
      </c>
      <c r="B77" t="s">
        <v>215</v>
      </c>
      <c r="C77">
        <f>MATCH(Events!B77,'Medal Count'!C:C,0)</f>
        <v>79</v>
      </c>
      <c r="D77" s="5">
        <v>1</v>
      </c>
      <c r="E77" s="7">
        <v>0</v>
      </c>
      <c r="F77" s="3">
        <v>1</v>
      </c>
      <c r="G77" s="9">
        <f t="shared" si="13"/>
        <v>4</v>
      </c>
      <c r="H77">
        <v>39</v>
      </c>
      <c r="I77" cm="1">
        <f t="array" ref="I77">INDEX('Medal Count'!D:D,Events!$C77)</f>
        <v>0</v>
      </c>
      <c r="J77" cm="1">
        <f t="array" ref="J77">INDEX('Medal Count'!E:E,Events!$C77)</f>
        <v>0</v>
      </c>
      <c r="K77" cm="1">
        <f t="array" ref="K77">INDEX('Medal Count'!F:F,Events!$C77)</f>
        <v>0</v>
      </c>
      <c r="L77">
        <f t="shared" ref="L77:L78" si="16">SUM((I77*3)+(J77*2)+(K77*1))</f>
        <v>0</v>
      </c>
      <c r="O77">
        <v>1</v>
      </c>
      <c r="T77">
        <v>1</v>
      </c>
      <c r="V77">
        <v>1</v>
      </c>
      <c r="AG77">
        <v>1</v>
      </c>
    </row>
    <row r="78" spans="1:33" x14ac:dyDescent="0.2">
      <c r="A78" s="1" t="s">
        <v>76</v>
      </c>
      <c r="B78" t="s">
        <v>216</v>
      </c>
      <c r="C78">
        <f>MATCH(Events!B78,'Medal Count'!C:C,0)</f>
        <v>80</v>
      </c>
      <c r="D78" s="5">
        <v>2</v>
      </c>
      <c r="E78" s="7">
        <v>3</v>
      </c>
      <c r="F78" s="3">
        <v>2</v>
      </c>
      <c r="G78" s="9">
        <f t="shared" si="13"/>
        <v>14</v>
      </c>
      <c r="H78">
        <v>18</v>
      </c>
      <c r="I78" cm="1">
        <f t="array" ref="I78">INDEX('Medal Count'!D:D,Events!$C78)</f>
        <v>1</v>
      </c>
      <c r="J78" cm="1">
        <f t="array" ref="J78">INDEX('Medal Count'!E:E,Events!$C78)</f>
        <v>1</v>
      </c>
      <c r="K78" cm="1">
        <f t="array" ref="K78">INDEX('Medal Count'!F:F,Events!$C78)</f>
        <v>0</v>
      </c>
      <c r="L78">
        <f t="shared" si="16"/>
        <v>5</v>
      </c>
      <c r="P78">
        <v>1</v>
      </c>
      <c r="Q78">
        <v>1</v>
      </c>
    </row>
    <row r="79" spans="1:33" x14ac:dyDescent="0.2">
      <c r="A79" s="1" t="s">
        <v>77</v>
      </c>
      <c r="B79" t="s">
        <v>217</v>
      </c>
      <c r="C79">
        <f>MATCH(Events!B79,'Medal Count'!C:C,0)</f>
        <v>81</v>
      </c>
      <c r="D79" s="5"/>
      <c r="E79" s="7"/>
      <c r="F79" s="3"/>
      <c r="G79" s="9">
        <f t="shared" si="13"/>
        <v>3</v>
      </c>
      <c r="H79">
        <v>3</v>
      </c>
      <c r="I79" cm="1">
        <f t="array" ref="I79">INDEX('Medal Count'!D:D,Events!$C79)</f>
        <v>0</v>
      </c>
      <c r="J79" cm="1">
        <f t="array" ref="J79">INDEX('Medal Count'!E:E,Events!$C79)</f>
        <v>0</v>
      </c>
      <c r="K79" cm="1">
        <f t="array" ref="K79">INDEX('Medal Count'!F:F,Events!$C79)</f>
        <v>0</v>
      </c>
      <c r="L79">
        <f>(I79*3*2)+(J79*2*2)+(K79*1*2)</f>
        <v>0</v>
      </c>
    </row>
    <row r="80" spans="1:33" x14ac:dyDescent="0.2">
      <c r="A80" s="1" t="s">
        <v>78</v>
      </c>
      <c r="B80" t="s">
        <v>218</v>
      </c>
      <c r="C80">
        <f>MATCH(Events!B80,'Medal Count'!C:C,0)</f>
        <v>82</v>
      </c>
      <c r="D80" s="5">
        <v>2</v>
      </c>
      <c r="E80" s="7">
        <v>5</v>
      </c>
      <c r="F80" s="3">
        <v>2</v>
      </c>
      <c r="G80" s="9">
        <f t="shared" si="13"/>
        <v>18</v>
      </c>
      <c r="H80">
        <v>37</v>
      </c>
      <c r="I80" cm="1">
        <f t="array" ref="I80">INDEX('Medal Count'!D:D,Events!$C80)</f>
        <v>0</v>
      </c>
      <c r="J80" cm="1">
        <f t="array" ref="J80">INDEX('Medal Count'!E:E,Events!$C80)</f>
        <v>1</v>
      </c>
      <c r="K80" cm="1">
        <f t="array" ref="K80">INDEX('Medal Count'!F:F,Events!$C80)</f>
        <v>1</v>
      </c>
      <c r="L80">
        <f t="shared" ref="L80:L83" si="17">SUM((I80*3)+(J80*2)+(K80*1))</f>
        <v>3</v>
      </c>
      <c r="R80">
        <v>1</v>
      </c>
      <c r="S80">
        <v>1</v>
      </c>
      <c r="U80">
        <v>1</v>
      </c>
      <c r="AB80">
        <v>1</v>
      </c>
      <c r="AF80">
        <v>1</v>
      </c>
    </row>
    <row r="81" spans="1:35" x14ac:dyDescent="0.2">
      <c r="A81" s="1" t="s">
        <v>79</v>
      </c>
      <c r="B81" t="s">
        <v>219</v>
      </c>
      <c r="C81">
        <f>MATCH(Events!B81,'Medal Count'!C:C,0)</f>
        <v>83</v>
      </c>
      <c r="D81" s="5">
        <v>0</v>
      </c>
      <c r="E81" s="7">
        <v>1</v>
      </c>
      <c r="F81" s="3">
        <v>0</v>
      </c>
      <c r="G81" s="9">
        <f t="shared" si="13"/>
        <v>2</v>
      </c>
      <c r="H81">
        <v>16</v>
      </c>
      <c r="I81" cm="1">
        <f t="array" ref="I81">INDEX('Medal Count'!D:D,Events!$C81)</f>
        <v>0</v>
      </c>
      <c r="J81" cm="1">
        <f t="array" ref="J81">INDEX('Medal Count'!E:E,Events!$C81)</f>
        <v>0</v>
      </c>
      <c r="K81" cm="1">
        <f t="array" ref="K81">INDEX('Medal Count'!F:F,Events!$C81)</f>
        <v>0</v>
      </c>
      <c r="L81">
        <f t="shared" si="17"/>
        <v>0</v>
      </c>
      <c r="AB81">
        <v>1</v>
      </c>
    </row>
    <row r="82" spans="1:35" x14ac:dyDescent="0.2">
      <c r="A82" s="1" t="s">
        <v>80</v>
      </c>
      <c r="B82" t="s">
        <v>137</v>
      </c>
      <c r="C82">
        <f>MATCH(Events!B82,'Medal Count'!C:C,0)</f>
        <v>84</v>
      </c>
      <c r="D82" s="5">
        <v>8</v>
      </c>
      <c r="E82" s="7">
        <v>5</v>
      </c>
      <c r="F82" s="3">
        <v>5</v>
      </c>
      <c r="G82" s="9">
        <f t="shared" si="13"/>
        <v>39</v>
      </c>
      <c r="H82">
        <v>91</v>
      </c>
      <c r="I82" cm="1">
        <f t="array" ref="I82">INDEX('Medal Count'!D:D,Events!$C82)</f>
        <v>3</v>
      </c>
      <c r="J82" cm="1">
        <f t="array" ref="J82">INDEX('Medal Count'!E:E,Events!$C82)</f>
        <v>2</v>
      </c>
      <c r="K82" cm="1">
        <f t="array" ref="K82">INDEX('Medal Count'!F:F,Events!$C82)</f>
        <v>1</v>
      </c>
      <c r="L82">
        <f t="shared" si="17"/>
        <v>14</v>
      </c>
      <c r="AA82">
        <v>1</v>
      </c>
      <c r="AC82">
        <v>1</v>
      </c>
      <c r="AE82">
        <v>1</v>
      </c>
      <c r="AG82">
        <v>1</v>
      </c>
      <c r="AH82">
        <v>1</v>
      </c>
    </row>
    <row r="83" spans="1:35" x14ac:dyDescent="0.2">
      <c r="A83" s="1" t="s">
        <v>81</v>
      </c>
      <c r="B83" t="s">
        <v>138</v>
      </c>
      <c r="C83">
        <f>MATCH(Events!B83,'Medal Count'!C:C,0)</f>
        <v>85</v>
      </c>
      <c r="D83" s="5">
        <v>7</v>
      </c>
      <c r="E83" s="7">
        <v>2</v>
      </c>
      <c r="F83" s="3">
        <v>6</v>
      </c>
      <c r="G83" s="9">
        <f t="shared" si="13"/>
        <v>31</v>
      </c>
      <c r="H83">
        <v>95</v>
      </c>
      <c r="I83" cm="1">
        <f t="array" ref="I83">INDEX('Medal Count'!D:D,Events!$C83)</f>
        <v>4</v>
      </c>
      <c r="J83" cm="1">
        <f t="array" ref="J83">INDEX('Medal Count'!E:E,Events!$C83)</f>
        <v>1</v>
      </c>
      <c r="K83" cm="1">
        <f t="array" ref="K83">INDEX('Medal Count'!F:F,Events!$C83)</f>
        <v>2</v>
      </c>
      <c r="L83">
        <f t="shared" si="17"/>
        <v>16</v>
      </c>
      <c r="W83">
        <v>1</v>
      </c>
      <c r="AE83">
        <v>1</v>
      </c>
    </row>
    <row r="84" spans="1:35" x14ac:dyDescent="0.2">
      <c r="A84" s="1" t="s">
        <v>82</v>
      </c>
      <c r="B84" t="s">
        <v>157</v>
      </c>
      <c r="C84">
        <f>MATCH(Events!B84,'Medal Count'!C:C,0)</f>
        <v>19</v>
      </c>
      <c r="D84" s="5"/>
      <c r="E84" s="7"/>
      <c r="F84" s="3"/>
      <c r="G84" s="9">
        <f t="shared" si="13"/>
        <v>3</v>
      </c>
      <c r="H84">
        <v>7</v>
      </c>
      <c r="I84" cm="1">
        <f t="array" ref="I84">INDEX('Medal Count'!D:D,Events!$C84)</f>
        <v>0</v>
      </c>
      <c r="J84" cm="1">
        <f t="array" ref="J84">INDEX('Medal Count'!E:E,Events!$C84)</f>
        <v>0</v>
      </c>
      <c r="K84" cm="1">
        <f t="array" ref="K84">INDEX('Medal Count'!F:F,Events!$C84)</f>
        <v>0</v>
      </c>
      <c r="L84">
        <f t="shared" ref="L84:L87" si="18">(I84*3*2)+(J84*2*2)+(K84*1*2)</f>
        <v>0</v>
      </c>
    </row>
    <row r="85" spans="1:35" x14ac:dyDescent="0.2">
      <c r="A85" s="1" t="s">
        <v>83</v>
      </c>
      <c r="B85" t="s">
        <v>220</v>
      </c>
      <c r="C85">
        <f>MATCH(Events!B85,'Medal Count'!C:C,0)</f>
        <v>86</v>
      </c>
      <c r="D85" s="5"/>
      <c r="E85" s="7"/>
      <c r="F85" s="3"/>
      <c r="G85" s="9">
        <f t="shared" si="13"/>
        <v>3</v>
      </c>
      <c r="H85">
        <v>3</v>
      </c>
      <c r="I85" cm="1">
        <f t="array" ref="I85">INDEX('Medal Count'!D:D,Events!$C85)</f>
        <v>0</v>
      </c>
      <c r="J85" cm="1">
        <f t="array" ref="J85">INDEX('Medal Count'!E:E,Events!$C85)</f>
        <v>0</v>
      </c>
      <c r="K85" cm="1">
        <f t="array" ref="K85">INDEX('Medal Count'!F:F,Events!$C85)</f>
        <v>0</v>
      </c>
      <c r="L85">
        <f t="shared" si="18"/>
        <v>0</v>
      </c>
    </row>
    <row r="86" spans="1:35" ht="28.5" x14ac:dyDescent="0.2">
      <c r="A86" s="1" t="s">
        <v>84</v>
      </c>
      <c r="B86" t="s">
        <v>221</v>
      </c>
      <c r="C86">
        <f>MATCH(Events!B86,'Medal Count'!C:C,0)</f>
        <v>87</v>
      </c>
      <c r="D86" s="5"/>
      <c r="E86" s="7"/>
      <c r="F86" s="3"/>
      <c r="G86" s="9">
        <f t="shared" si="13"/>
        <v>3</v>
      </c>
      <c r="H86">
        <v>2</v>
      </c>
      <c r="I86" cm="1">
        <f t="array" ref="I86">INDEX('Medal Count'!D:D,Events!$C86)</f>
        <v>0</v>
      </c>
      <c r="J86" cm="1">
        <f t="array" ref="J86">INDEX('Medal Count'!E:E,Events!$C86)</f>
        <v>0</v>
      </c>
      <c r="K86" cm="1">
        <f t="array" ref="K86">INDEX('Medal Count'!F:F,Events!$C86)</f>
        <v>0</v>
      </c>
      <c r="L86">
        <f t="shared" si="18"/>
        <v>0</v>
      </c>
    </row>
    <row r="87" spans="1:35" x14ac:dyDescent="0.2">
      <c r="A87" s="1" t="s">
        <v>85</v>
      </c>
      <c r="B87" t="s">
        <v>222</v>
      </c>
      <c r="C87">
        <f>MATCH(Events!B87,'Medal Count'!C:C,0)</f>
        <v>88</v>
      </c>
      <c r="D87" s="5"/>
      <c r="E87" s="7"/>
      <c r="F87" s="3"/>
      <c r="G87" s="9">
        <f t="shared" si="13"/>
        <v>3</v>
      </c>
      <c r="H87">
        <v>6</v>
      </c>
      <c r="I87" cm="1">
        <f t="array" ref="I87">INDEX('Medal Count'!D:D,Events!$C87)</f>
        <v>0</v>
      </c>
      <c r="J87" cm="1">
        <f t="array" ref="J87">INDEX('Medal Count'!E:E,Events!$C87)</f>
        <v>0</v>
      </c>
      <c r="K87" cm="1">
        <f t="array" ref="K87">INDEX('Medal Count'!F:F,Events!$C87)</f>
        <v>0</v>
      </c>
      <c r="L87">
        <f t="shared" si="18"/>
        <v>0</v>
      </c>
    </row>
    <row r="88" spans="1:35" x14ac:dyDescent="0.2">
      <c r="A88" s="1" t="s">
        <v>86</v>
      </c>
      <c r="B88" t="s">
        <v>223</v>
      </c>
      <c r="C88">
        <f>MATCH(Events!B88,'Medal Count'!C:C,0)</f>
        <v>89</v>
      </c>
      <c r="D88" s="5">
        <v>0</v>
      </c>
      <c r="E88" s="7">
        <v>1</v>
      </c>
      <c r="F88" s="3">
        <v>0</v>
      </c>
      <c r="G88" s="9">
        <f t="shared" si="13"/>
        <v>2</v>
      </c>
      <c r="H88">
        <v>20</v>
      </c>
      <c r="I88" cm="1">
        <f t="array" ref="I88">INDEX('Medal Count'!D:D,Events!$C88)</f>
        <v>0</v>
      </c>
      <c r="J88" cm="1">
        <f t="array" ref="J88">INDEX('Medal Count'!E:E,Events!$C88)</f>
        <v>0</v>
      </c>
      <c r="K88" cm="1">
        <f t="array" ref="K88">INDEX('Medal Count'!F:F,Events!$C88)</f>
        <v>0</v>
      </c>
      <c r="L88">
        <f>SUM((I88*3)+(J88*2)+(K88*1))</f>
        <v>0</v>
      </c>
      <c r="P88">
        <v>1</v>
      </c>
      <c r="S88">
        <v>1</v>
      </c>
      <c r="AD88">
        <v>1</v>
      </c>
    </row>
    <row r="89" spans="1:35" ht="28.5" x14ac:dyDescent="0.2">
      <c r="A89" s="1" t="s">
        <v>87</v>
      </c>
      <c r="B89" t="s">
        <v>224</v>
      </c>
      <c r="C89">
        <f>MATCH(Events!B89,'Medal Count'!C:C,0)</f>
        <v>90</v>
      </c>
      <c r="D89" s="5"/>
      <c r="E89" s="7"/>
      <c r="F89" s="3"/>
      <c r="G89" s="9">
        <f t="shared" si="13"/>
        <v>3</v>
      </c>
      <c r="H89">
        <v>2</v>
      </c>
      <c r="I89" cm="1">
        <f t="array" ref="I89">INDEX('Medal Count'!D:D,Events!$C89)</f>
        <v>0</v>
      </c>
      <c r="J89" cm="1">
        <f t="array" ref="J89">INDEX('Medal Count'!E:E,Events!$C89)</f>
        <v>0</v>
      </c>
      <c r="K89" cm="1">
        <f t="array" ref="K89">INDEX('Medal Count'!F:F,Events!$C89)</f>
        <v>0</v>
      </c>
      <c r="L89">
        <f>(I89*3*2)+(J89*2*2)+(K89*1*2)</f>
        <v>0</v>
      </c>
    </row>
    <row r="90" spans="1:35" x14ac:dyDescent="0.2">
      <c r="A90" s="1" t="s">
        <v>88</v>
      </c>
      <c r="B90" t="s">
        <v>225</v>
      </c>
      <c r="C90">
        <f>MATCH(Events!B90,'Medal Count'!C:C,0)</f>
        <v>91</v>
      </c>
      <c r="D90" s="5">
        <v>9</v>
      </c>
      <c r="E90" s="7">
        <v>9</v>
      </c>
      <c r="F90" s="3">
        <v>7</v>
      </c>
      <c r="G90" s="9">
        <f t="shared" si="13"/>
        <v>52</v>
      </c>
      <c r="H90">
        <v>140</v>
      </c>
      <c r="I90" cm="1">
        <f t="array" ref="I90">INDEX('Medal Count'!D:D,Events!$C90)</f>
        <v>2</v>
      </c>
      <c r="J90" cm="1">
        <f t="array" ref="J90">INDEX('Medal Count'!E:E,Events!$C90)</f>
        <v>4</v>
      </c>
      <c r="K90" cm="1">
        <f t="array" ref="K90">INDEX('Medal Count'!F:F,Events!$C90)</f>
        <v>2</v>
      </c>
      <c r="L90">
        <f>SUM((I90*3)+(J90*2)+(K90*1))</f>
        <v>16</v>
      </c>
      <c r="V90">
        <v>1</v>
      </c>
      <c r="Y90">
        <v>1</v>
      </c>
      <c r="AD90">
        <v>1</v>
      </c>
      <c r="AH90">
        <v>1</v>
      </c>
    </row>
    <row r="91" spans="1:35" x14ac:dyDescent="0.2">
      <c r="A91" s="1" t="s">
        <v>89</v>
      </c>
      <c r="B91" t="s">
        <v>226</v>
      </c>
      <c r="C91">
        <f>MATCH(Events!B91,'Medal Count'!C:C,0)</f>
        <v>92</v>
      </c>
      <c r="D91" s="5"/>
      <c r="E91" s="7"/>
      <c r="F91" s="3"/>
      <c r="G91" s="9">
        <f t="shared" si="13"/>
        <v>3</v>
      </c>
      <c r="H91">
        <v>1</v>
      </c>
      <c r="I91" cm="1">
        <f t="array" ref="I91">INDEX('Medal Count'!D:D,Events!$C91)</f>
        <v>0</v>
      </c>
      <c r="J91" cm="1">
        <f t="array" ref="J91">INDEX('Medal Count'!E:E,Events!$C91)</f>
        <v>0</v>
      </c>
      <c r="K91" cm="1">
        <f t="array" ref="K91">INDEX('Medal Count'!F:F,Events!$C91)</f>
        <v>0</v>
      </c>
      <c r="L91">
        <f t="shared" ref="L91:L93" si="19">(I91*3*2)+(J91*2*2)+(K91*1*2)</f>
        <v>0</v>
      </c>
    </row>
    <row r="92" spans="1:35" x14ac:dyDescent="0.2">
      <c r="A92" s="1" t="s">
        <v>90</v>
      </c>
      <c r="B92" t="s">
        <v>227</v>
      </c>
      <c r="C92">
        <f>MATCH(Events!B92,'Medal Count'!C:C,0)</f>
        <v>93</v>
      </c>
      <c r="D92" s="5"/>
      <c r="E92" s="7"/>
      <c r="F92" s="3"/>
      <c r="G92" s="9">
        <f t="shared" si="13"/>
        <v>3</v>
      </c>
      <c r="H92">
        <v>4</v>
      </c>
      <c r="I92" cm="1">
        <f t="array" ref="I92">INDEX('Medal Count'!D:D,Events!$C92)</f>
        <v>0</v>
      </c>
      <c r="J92" cm="1">
        <f t="array" ref="J92">INDEX('Medal Count'!E:E,Events!$C92)</f>
        <v>0</v>
      </c>
      <c r="K92" cm="1">
        <f t="array" ref="K92">INDEX('Medal Count'!F:F,Events!$C92)</f>
        <v>0</v>
      </c>
      <c r="L92">
        <f t="shared" si="19"/>
        <v>0</v>
      </c>
    </row>
    <row r="93" spans="1:35" x14ac:dyDescent="0.2">
      <c r="A93" s="1" t="s">
        <v>91</v>
      </c>
      <c r="B93" t="s">
        <v>228</v>
      </c>
      <c r="C93">
        <f>MATCH(Events!B93,'Medal Count'!C:C,0)</f>
        <v>94</v>
      </c>
      <c r="D93" s="5"/>
      <c r="E93" s="7"/>
      <c r="F93" s="3"/>
      <c r="G93" s="9">
        <f t="shared" si="13"/>
        <v>3</v>
      </c>
      <c r="H93">
        <v>1</v>
      </c>
      <c r="I93" cm="1">
        <f t="array" ref="I93">INDEX('Medal Count'!D:D,Events!$C93)</f>
        <v>0</v>
      </c>
      <c r="J93" cm="1">
        <f t="array" ref="J93">INDEX('Medal Count'!E:E,Events!$C93)</f>
        <v>0</v>
      </c>
      <c r="K93" cm="1">
        <f t="array" ref="K93">INDEX('Medal Count'!F:F,Events!$C93)</f>
        <v>0</v>
      </c>
      <c r="L93">
        <f t="shared" si="19"/>
        <v>0</v>
      </c>
    </row>
    <row r="94" spans="1:35" x14ac:dyDescent="0.2">
      <c r="A94" t="s">
        <v>100</v>
      </c>
      <c r="D94" s="4"/>
      <c r="E94" s="6"/>
      <c r="F94" s="2"/>
      <c r="G94" s="8"/>
      <c r="M94">
        <f t="shared" ref="M94:AI94" si="20">SUMIF(M$2:M$93,1,$G$2:$G$93)</f>
        <v>99</v>
      </c>
      <c r="N94">
        <f t="shared" si="20"/>
        <v>100</v>
      </c>
      <c r="O94">
        <f t="shared" si="20"/>
        <v>100</v>
      </c>
      <c r="P94">
        <f t="shared" si="20"/>
        <v>100</v>
      </c>
      <c r="Q94">
        <f t="shared" si="20"/>
        <v>100</v>
      </c>
      <c r="R94">
        <f t="shared" si="20"/>
        <v>100</v>
      </c>
      <c r="S94">
        <f t="shared" si="20"/>
        <v>100</v>
      </c>
      <c r="T94">
        <f t="shared" si="20"/>
        <v>100</v>
      </c>
      <c r="U94">
        <f t="shared" si="20"/>
        <v>100</v>
      </c>
      <c r="V94">
        <f t="shared" si="20"/>
        <v>100</v>
      </c>
      <c r="W94">
        <f t="shared" si="20"/>
        <v>100</v>
      </c>
      <c r="X94">
        <f t="shared" si="20"/>
        <v>99</v>
      </c>
      <c r="Y94">
        <f t="shared" si="20"/>
        <v>100</v>
      </c>
      <c r="Z94">
        <f t="shared" si="20"/>
        <v>100</v>
      </c>
      <c r="AA94">
        <f t="shared" si="20"/>
        <v>100</v>
      </c>
      <c r="AB94">
        <f t="shared" si="20"/>
        <v>100</v>
      </c>
      <c r="AC94">
        <f t="shared" si="20"/>
        <v>100</v>
      </c>
      <c r="AD94">
        <f t="shared" si="20"/>
        <v>100</v>
      </c>
      <c r="AE94">
        <f t="shared" si="20"/>
        <v>72</v>
      </c>
      <c r="AF94">
        <f t="shared" si="20"/>
        <v>100</v>
      </c>
      <c r="AG94">
        <f t="shared" si="20"/>
        <v>100</v>
      </c>
      <c r="AH94">
        <f t="shared" si="20"/>
        <v>100</v>
      </c>
      <c r="AI94">
        <f t="shared" si="20"/>
        <v>100</v>
      </c>
    </row>
    <row r="95" spans="1:35" x14ac:dyDescent="0.2">
      <c r="A95" t="s">
        <v>101</v>
      </c>
      <c r="D95" s="4"/>
      <c r="E95" s="6"/>
      <c r="F95" s="2"/>
      <c r="G95" s="8"/>
      <c r="M95">
        <f t="shared" ref="M95:AI95" si="21">SUMIF(M$2:M$93,1,$L$2:$L$93)</f>
        <v>19</v>
      </c>
      <c r="N95">
        <f t="shared" si="21"/>
        <v>29</v>
      </c>
      <c r="O95">
        <f t="shared" si="21"/>
        <v>37</v>
      </c>
      <c r="P95">
        <f t="shared" si="21"/>
        <v>19</v>
      </c>
      <c r="Q95">
        <f t="shared" si="21"/>
        <v>37</v>
      </c>
      <c r="R95">
        <f t="shared" si="21"/>
        <v>33</v>
      </c>
      <c r="S95">
        <f t="shared" si="21"/>
        <v>32</v>
      </c>
      <c r="T95">
        <f t="shared" si="21"/>
        <v>12</v>
      </c>
      <c r="U95">
        <f t="shared" si="21"/>
        <v>42</v>
      </c>
      <c r="V95">
        <f t="shared" si="21"/>
        <v>24</v>
      </c>
      <c r="W95">
        <f t="shared" si="21"/>
        <v>38</v>
      </c>
      <c r="X95">
        <f t="shared" si="21"/>
        <v>23</v>
      </c>
      <c r="Y95">
        <f t="shared" si="21"/>
        <v>41</v>
      </c>
      <c r="Z95">
        <f t="shared" si="21"/>
        <v>19</v>
      </c>
      <c r="AA95">
        <f t="shared" si="21"/>
        <v>28</v>
      </c>
      <c r="AB95">
        <f t="shared" si="21"/>
        <v>25</v>
      </c>
      <c r="AC95">
        <f t="shared" si="21"/>
        <v>28</v>
      </c>
      <c r="AD95">
        <f t="shared" si="21"/>
        <v>25</v>
      </c>
      <c r="AE95">
        <f t="shared" si="21"/>
        <v>34</v>
      </c>
      <c r="AF95">
        <f t="shared" si="21"/>
        <v>32</v>
      </c>
      <c r="AG95">
        <f t="shared" si="21"/>
        <v>21</v>
      </c>
      <c r="AH95">
        <f t="shared" si="21"/>
        <v>35</v>
      </c>
      <c r="AI95">
        <f t="shared" si="21"/>
        <v>36</v>
      </c>
    </row>
  </sheetData>
  <hyperlinks>
    <hyperlink ref="A2" r:id="rId1" tooltip="Albania at the 2026 Winter Olympics" display="https://en.wikipedia.org/wiki/Albania_at_the_2026_Winter_Olympics" xr:uid="{F83396D1-1C4A-4B6F-A66C-C3D6713B9D37}"/>
    <hyperlink ref="A3" r:id="rId2" tooltip="Andorra at the 2026 Winter Olympics" display="https://en.wikipedia.org/wiki/Andorra_at_the_2026_Winter_Olympics" xr:uid="{74986747-E150-4B33-B933-6A5614FDA73B}"/>
    <hyperlink ref="A4" r:id="rId3" tooltip="Argentina at the 2026 Winter Olympics" display="https://en.wikipedia.org/wiki/Argentina_at_the_2026_Winter_Olympics" xr:uid="{E1C4E039-E99E-4443-B9B4-237EFB27FC4F}"/>
    <hyperlink ref="A5" r:id="rId4" tooltip="Armenia at the 2026 Winter Olympics" display="https://en.wikipedia.org/wiki/Armenia_at_the_2026_Winter_Olympics" xr:uid="{464EC82F-48C2-487D-B987-94DF82CB9F03}"/>
    <hyperlink ref="A6" r:id="rId5" tooltip="Australia at the 2026 Winter Olympics" display="https://en.wikipedia.org/wiki/Australia_at_the_2026_Winter_Olympics" xr:uid="{78B3DE10-2CFE-4837-83A4-29BAF7E9093E}"/>
    <hyperlink ref="A7" r:id="rId6" tooltip="Austria at the 2026 Winter Olympics" display="https://en.wikipedia.org/wiki/Austria_at_the_2026_Winter_Olympics" xr:uid="{BDDD6F3A-3E52-43D7-89D0-48D6BED0A301}"/>
    <hyperlink ref="A8" r:id="rId7" tooltip="Azerbaijan at the 2026 Winter Olympics" display="https://en.wikipedia.org/wiki/Azerbaijan_at_the_2026_Winter_Olympics" xr:uid="{95D17A08-AFD6-4369-96AC-42F0972D77FB}"/>
    <hyperlink ref="A9" r:id="rId8" tooltip="Belgium at the 2026 Winter Olympics" display="https://en.wikipedia.org/wiki/Belgium_at_the_2026_Winter_Olympics" xr:uid="{F459F488-8CC5-4B53-A52F-939F58645B38}"/>
    <hyperlink ref="A10" r:id="rId9" tooltip="Benin at the 2026 Winter Olympics (page does not exist)" display="https://en.wikipedia.org/w/index.php?title=Benin_at_the_2026_Winter_Olympics&amp;action=edit&amp;redlink=1" xr:uid="{698E4540-75CC-49BB-B674-868C5B4160B7}"/>
    <hyperlink ref="A11" r:id="rId10" tooltip="Bolivia at the 2026 Winter Olympics" display="https://en.wikipedia.org/wiki/Bolivia_at_the_2026_Winter_Olympics" xr:uid="{3A059F83-013E-4937-A987-0439623A601A}"/>
    <hyperlink ref="A12" r:id="rId11" tooltip="Bosnia and Herzegovina at the 2026 Winter Olympics" display="https://en.wikipedia.org/wiki/Bosnia_and_Herzegovina_at_the_2026_Winter_Olympics" xr:uid="{B15F8E28-E777-495F-99AC-756DD6D866DB}"/>
    <hyperlink ref="A13" r:id="rId12" tooltip="Brazil at the 2026 Winter Olympics" display="https://en.wikipedia.org/wiki/Brazil_at_the_2026_Winter_Olympics" xr:uid="{E544F513-E664-49CF-9F9B-0B3788F55E3F}"/>
    <hyperlink ref="A14" r:id="rId13" tooltip="Bulgaria at the 2026 Winter Olympics" display="https://en.wikipedia.org/wiki/Bulgaria_at_the_2026_Winter_Olympics" xr:uid="{5C9D0B66-0696-43E4-A342-D2C2FF8BD0D6}"/>
    <hyperlink ref="A15" r:id="rId14" tooltip="Canada at the 2026 Winter Olympics" display="https://en.wikipedia.org/wiki/Canada_at_the_2026_Winter_Olympics" xr:uid="{8EC58B17-9128-43E0-B653-7FF7ACC47137}"/>
    <hyperlink ref="A16" r:id="rId15" tooltip="Chile at the 2026 Winter Olympics" display="https://en.wikipedia.org/wiki/Chile_at_the_2026_Winter_Olympics" xr:uid="{B5B7A252-2BB3-4B6F-A935-9B9B25F19830}"/>
    <hyperlink ref="A17" r:id="rId16" tooltip="China at the 2026 Winter Olympics" display="https://en.wikipedia.org/wiki/China_at_the_2026_Winter_Olympics" xr:uid="{14E3B6C5-08B3-465B-982F-F125363DDF5C}"/>
    <hyperlink ref="A18" r:id="rId17" tooltip="Colombia at the 2026 Winter Olympics" display="https://en.wikipedia.org/wiki/Colombia_at_the_2026_Winter_Olympics" xr:uid="{7BCE3267-2476-4DE1-9AB1-EA3A20AD7F4B}"/>
    <hyperlink ref="A19" r:id="rId18" tooltip="Croatia at the 2026 Winter Olympics" display="https://en.wikipedia.org/wiki/Croatia_at_the_2026_Winter_Olympics" xr:uid="{752E01EB-69E8-45B5-B7AC-0F677602A6CF}"/>
    <hyperlink ref="A20" r:id="rId19" tooltip="Cyprus at the 2026 Winter Olympics" display="https://en.wikipedia.org/wiki/Cyprus_at_the_2026_Winter_Olympics" xr:uid="{B849D4BC-C23C-4435-B5D1-8DBF54A8AA7F}"/>
    <hyperlink ref="A21" r:id="rId20" tooltip="Czech Republic at the 2026 Winter Olympics" display="https://en.wikipedia.org/wiki/Czech_Republic_at_the_2026_Winter_Olympics" xr:uid="{CBA21BA8-EAF3-42A3-9716-5DD616F321FF}"/>
    <hyperlink ref="A22" r:id="rId21" tooltip="Denmark at the 2026 Winter Olympics" display="https://en.wikipedia.org/wiki/Denmark_at_the_2026_Winter_Olympics" xr:uid="{786F115C-3D72-4853-BD9A-D61788050BF3}"/>
    <hyperlink ref="A23" r:id="rId22" tooltip="Ecuador at the 2026 Winter Olympics" display="https://en.wikipedia.org/wiki/Ecuador_at_the_2026_Winter_Olympics" xr:uid="{41A20157-42C4-4020-917E-8128BB561E70}"/>
    <hyperlink ref="A24" r:id="rId23" tooltip="Eritrea at the 2026 Winter Olympics" display="https://en.wikipedia.org/wiki/Eritrea_at_the_2026_Winter_Olympics" xr:uid="{C4560F73-2B18-46B3-9519-636E6B18D225}"/>
    <hyperlink ref="A25" r:id="rId24" tooltip="Estonia at the 2026 Winter Olympics" display="https://en.wikipedia.org/wiki/Estonia_at_the_2026_Winter_Olympics" xr:uid="{BFB06048-4A54-46DA-B3FE-735C223A209A}"/>
    <hyperlink ref="A26" r:id="rId25" tooltip="Finland at the 2026 Winter Olympics" display="https://en.wikipedia.org/wiki/Finland_at_the_2026_Winter_Olympics" xr:uid="{ABF8736A-C961-47BD-9640-5BF5B879E00E}"/>
    <hyperlink ref="A27" r:id="rId26" tooltip="France at the 2026 Winter Olympics" display="https://en.wikipedia.org/wiki/France_at_the_2026_Winter_Olympics" xr:uid="{4C96982A-1BAC-47FD-A140-A56C69924D2B}"/>
    <hyperlink ref="A28" r:id="rId27" tooltip="Georgia at the 2026 Winter Olympics" display="https://en.wikipedia.org/wiki/Georgia_at_the_2026_Winter_Olympics" xr:uid="{D6E8BA45-2AE6-4710-B671-D6B5BE6F8EE0}"/>
    <hyperlink ref="A29" r:id="rId28" tooltip="Germany at the 2026 Winter Olympics" display="https://en.wikipedia.org/wiki/Germany_at_the_2026_Winter_Olympics" xr:uid="{DF8B8B2B-C228-4BDB-928F-85A14C2F9A78}"/>
    <hyperlink ref="A30" r:id="rId29" tooltip="Great Britain at the 2026 Winter Olympics" display="https://en.wikipedia.org/wiki/Great_Britain_at_the_2026_Winter_Olympics" xr:uid="{956A66AD-CE3F-4C40-BA12-79FB505373DD}"/>
    <hyperlink ref="A31" r:id="rId30" tooltip="Greece at the 2026 Winter Olympics" display="https://en.wikipedia.org/wiki/Greece_at_the_2026_Winter_Olympics" xr:uid="{E0376A65-FFDE-47E8-876D-14C0E87C670E}"/>
    <hyperlink ref="A32" r:id="rId31" tooltip="Guinea-Bissau at the 2026 Winter Olympics" display="https://en.wikipedia.org/wiki/Guinea-Bissau_at_the_2026_Winter_Olympics" xr:uid="{B4BBA311-5ED7-4FCE-B887-7B22ED9F77A7}"/>
    <hyperlink ref="A33" r:id="rId32" tooltip="Haiti at the 2026 Winter Olympics" display="https://en.wikipedia.org/wiki/Haiti_at_the_2026_Winter_Olympics" xr:uid="{37011DEA-6A11-4075-8468-ABBD07EE30AF}"/>
    <hyperlink ref="A34" r:id="rId33" tooltip="Hong Kong at the 2026 Winter Olympics" display="https://en.wikipedia.org/wiki/Hong_Kong_at_the_2026_Winter_Olympics" xr:uid="{08FC4DEF-851F-42AB-8AAF-DB1D0CDD784C}"/>
    <hyperlink ref="A35" r:id="rId34" tooltip="Hungary at the 2026 Winter Olympics" display="https://en.wikipedia.org/wiki/Hungary_at_the_2026_Winter_Olympics" xr:uid="{CD58AD2C-7E82-434D-991F-36C262356F30}"/>
    <hyperlink ref="A36" r:id="rId35" tooltip="Iceland at the 2026 Winter Olympics" display="https://en.wikipedia.org/wiki/Iceland_at_the_2026_Winter_Olympics" xr:uid="{290F3670-A3F9-41B6-A2A9-7FF38B9D9093}"/>
    <hyperlink ref="A37" r:id="rId36" tooltip="India at the 2026 Winter Olympics" display="https://en.wikipedia.org/wiki/India_at_the_2026_Winter_Olympics" xr:uid="{F41624DA-8E95-46B2-9E4E-62343CFAD61F}"/>
    <hyperlink ref="A38" r:id="rId37" tooltip="Individual Neutral Athletes at the 2026 Winter Olympics" display="https://en.wikipedia.org/wiki/Individual_Neutral_Athletes_at_the_2026_Winter_Olympics" xr:uid="{9BF68772-AD0F-440A-BB22-063E7F6DEB81}"/>
    <hyperlink ref="A39" r:id="rId38" tooltip="Iran at the 2026 Winter Olympics" display="https://en.wikipedia.org/wiki/Iran_at_the_2026_Winter_Olympics" xr:uid="{3A1B3F3E-6FB9-4661-AE31-C83078EF9D7C}"/>
    <hyperlink ref="A40" r:id="rId39" tooltip="Ireland at the 2026 Winter Olympics" display="https://en.wikipedia.org/wiki/Ireland_at_the_2026_Winter_Olympics" xr:uid="{782A3698-5355-4150-9BF3-7FCFA0245318}"/>
    <hyperlink ref="A41" r:id="rId40" tooltip="Israel at the 2026 Winter Olympics" display="https://en.wikipedia.org/wiki/Israel_at_the_2026_Winter_Olympics" xr:uid="{1A3DD3CE-D948-4C1F-8BAF-C4BE2BC78083}"/>
    <hyperlink ref="A42" r:id="rId41" tooltip="Italy at the 2026 Winter Olympics" display="https://en.wikipedia.org/wiki/Italy_at_the_2026_Winter_Olympics" xr:uid="{5017FC6D-C818-4DB6-BDC4-C1571F6F12EE}"/>
    <hyperlink ref="A43" r:id="rId42" tooltip="Jamaica at the 2026 Winter Olympics" display="https://en.wikipedia.org/wiki/Jamaica_at_the_2026_Winter_Olympics" xr:uid="{779F404C-A3E7-446C-A970-7BC8AFFD34F7}"/>
    <hyperlink ref="A44" r:id="rId43" tooltip="Japan at the 2026 Winter Olympics" display="https://en.wikipedia.org/wiki/Japan_at_the_2026_Winter_Olympics" xr:uid="{25C3C779-DA54-433A-8A99-D48AF756D021}"/>
    <hyperlink ref="A45" r:id="rId44" tooltip="Kazakhstan at the 2026 Winter Olympics" display="https://en.wikipedia.org/wiki/Kazakhstan_at_the_2026_Winter_Olympics" xr:uid="{C3800210-8E06-4298-B4F2-C9D93B39E46E}"/>
    <hyperlink ref="A46" r:id="rId45" tooltip="Kenya at the 2026 Winter Olympics" display="https://en.wikipedia.org/wiki/Kenya_at_the_2026_Winter_Olympics" xr:uid="{3DFF26C4-255D-45EB-A371-094766834B32}"/>
    <hyperlink ref="A47" r:id="rId46" tooltip="Kosovo at the 2026 Winter Olympics" display="https://en.wikipedia.org/wiki/Kosovo_at_the_2026_Winter_Olympics" xr:uid="{816FEB65-A964-4193-AD79-ABD6463F801E}"/>
    <hyperlink ref="A48" r:id="rId47" tooltip="Kyrgyzstan at the 2026 Winter Olympics" display="https://en.wikipedia.org/wiki/Kyrgyzstan_at_the_2026_Winter_Olympics" xr:uid="{3497425D-B881-46B9-9078-F47097B80C43}"/>
    <hyperlink ref="A49" r:id="rId48" tooltip="Latvia at the 2026 Winter Olympics" display="https://en.wikipedia.org/wiki/Latvia_at_the_2026_Winter_Olympics" xr:uid="{B88FFC7C-4DCF-4C4A-810B-2E091254CCF0}"/>
    <hyperlink ref="A50" r:id="rId49" tooltip="Lebanon at the 2026 Winter Olympics" display="https://en.wikipedia.org/wiki/Lebanon_at_the_2026_Winter_Olympics" xr:uid="{033565A6-9F29-44F1-A5A6-25FBB9D1C080}"/>
    <hyperlink ref="A51" r:id="rId50" tooltip="Liechtenstein at the 2026 Winter Olympics" display="https://en.wikipedia.org/wiki/Liechtenstein_at_the_2026_Winter_Olympics" xr:uid="{5263A54D-8787-47C1-9F20-D42E71D2FAF0}"/>
    <hyperlink ref="A52" r:id="rId51" tooltip="Lithuania at the 2026 Winter Olympics" display="https://en.wikipedia.org/wiki/Lithuania_at_the_2026_Winter_Olympics" xr:uid="{1A532358-DA6C-4DEA-BFE6-E804F0C2AC9B}"/>
    <hyperlink ref="A53" r:id="rId52" tooltip="Luxembourg at the 2026 Winter Olympics" display="https://en.wikipedia.org/wiki/Luxembourg_at_the_2026_Winter_Olympics" xr:uid="{413F7599-AB94-4347-9EB9-6E0F1A2DF5DC}"/>
    <hyperlink ref="A54" r:id="rId53" tooltip="Madagascar at the 2026 Winter Olympics" display="https://en.wikipedia.org/wiki/Madagascar_at_the_2026_Winter_Olympics" xr:uid="{45C6A42B-B9BC-49A0-AE50-8DE8E2D11D9A}"/>
    <hyperlink ref="A55" r:id="rId54" tooltip="Malaysia at the 2026 Winter Olympics" display="https://en.wikipedia.org/wiki/Malaysia_at_the_2026_Winter_Olympics" xr:uid="{6723EBB9-930C-4745-AE32-6D48274617C7}"/>
    <hyperlink ref="A56" r:id="rId55" tooltip="Malta at the 2026 Winter Olympics" display="https://en.wikipedia.org/wiki/Malta_at_the_2026_Winter_Olympics" xr:uid="{6B7F587A-FB88-4C5E-A542-62D6D41A04CD}"/>
    <hyperlink ref="A57" r:id="rId56" tooltip="Mexico at the 2026 Winter Olympics" display="https://en.wikipedia.org/wiki/Mexico_at_the_2026_Winter_Olympics" xr:uid="{41E77A92-1AEF-4674-954E-50A4E3B47445}"/>
    <hyperlink ref="A58" r:id="rId57" tooltip="Moldova at the 2026 Winter Olympics" display="https://en.wikipedia.org/wiki/Moldova_at_the_2026_Winter_Olympics" xr:uid="{67F4401D-0DA0-4E4D-858F-F6968462E70A}"/>
    <hyperlink ref="A59" r:id="rId58" tooltip="Monaco at the 2026 Winter Olympics" display="https://en.wikipedia.org/wiki/Monaco_at_the_2026_Winter_Olympics" xr:uid="{2F2CEE19-68B6-406A-8577-C80379A53736}"/>
    <hyperlink ref="A60" r:id="rId59" tooltip="Mongolia at the 2026 Winter Olympics" display="https://en.wikipedia.org/wiki/Mongolia_at_the_2026_Winter_Olympics" xr:uid="{488B47A0-07F2-468C-A3A6-897481511FC4}"/>
    <hyperlink ref="A61" r:id="rId60" tooltip="Montenegro at the 2026 Winter Olympics" display="https://en.wikipedia.org/wiki/Montenegro_at_the_2026_Winter_Olympics" xr:uid="{23294B85-E84A-4CE2-A398-E7AA2F0C7FE8}"/>
    <hyperlink ref="A62" r:id="rId61" tooltip="Morocco at the 2026 Winter Olympics" display="https://en.wikipedia.org/wiki/Morocco_at_the_2026_Winter_Olympics" xr:uid="{4A3B6D06-9D78-46CC-BE0A-5CE02DD0751F}"/>
    <hyperlink ref="A63" r:id="rId62" tooltip="Netherlands at the 2026 Winter Olympics" display="https://en.wikipedia.org/wiki/Netherlands_at_the_2026_Winter_Olympics" xr:uid="{93330F7F-C895-46DD-8225-08B453BF0284}"/>
    <hyperlink ref="A64" r:id="rId63" tooltip="New Zealand at the 2026 Winter Olympics" display="https://en.wikipedia.org/wiki/New_Zealand_at_the_2026_Winter_Olympics" xr:uid="{0869531C-4E27-40DF-9EB1-DE42BA20788D}"/>
    <hyperlink ref="A65" r:id="rId64" tooltip="Nigeria at the 2026 Winter Olympics" display="https://en.wikipedia.org/wiki/Nigeria_at_the_2026_Winter_Olympics" xr:uid="{0B08ECB3-43CC-4C35-9706-567574F8E84F}"/>
    <hyperlink ref="A66" r:id="rId65" tooltip="North Macedonia at the 2026 Winter Olympics" display="https://en.wikipedia.org/wiki/North_Macedonia_at_the_2026_Winter_Olympics" xr:uid="{303DE655-6C86-4462-AF50-1239573B6E88}"/>
    <hyperlink ref="A67" r:id="rId66" tooltip="Norway at the 2026 Winter Olympics" display="https://en.wikipedia.org/wiki/Norway_at_the_2026_Winter_Olympics" xr:uid="{72ECE5AB-0A60-414E-950D-7CC9AE639BF5}"/>
    <hyperlink ref="A68" r:id="rId67" tooltip="Pakistan at the 2026 Winter Olympics" display="https://en.wikipedia.org/wiki/Pakistan_at_the_2026_Winter_Olympics" xr:uid="{9B82AA62-3724-4ABD-B224-F12026EBD6E6}"/>
    <hyperlink ref="A69" r:id="rId68" tooltip="Philippines at the 2026 Winter Olympics" display="https://en.wikipedia.org/wiki/Philippines_at_the_2026_Winter_Olympics" xr:uid="{988C40A9-439F-4F6A-A5E1-B75BEF8FDDF7}"/>
    <hyperlink ref="A70" r:id="rId69" tooltip="Poland at the 2026 Winter Olympics" display="https://en.wikipedia.org/wiki/Poland_at_the_2026_Winter_Olympics" xr:uid="{9A0E2C74-382D-4169-9751-4989BED58E98}"/>
    <hyperlink ref="A71" r:id="rId70" tooltip="Portugal at the 2026 Winter Olympics" display="https://en.wikipedia.org/wiki/Portugal_at_the_2026_Winter_Olympics" xr:uid="{3E496159-F30A-40B7-9376-69BDC3934DDC}"/>
    <hyperlink ref="A72" r:id="rId71" tooltip="Romania at the 2026 Winter Olympics" display="https://en.wikipedia.org/wiki/Romania_at_the_2026_Winter_Olympics" xr:uid="{4B5770D4-98AC-4ACE-A2DC-EA824B4C27BD}"/>
    <hyperlink ref="A73" r:id="rId72" tooltip="San Marino at the 2026 Winter Olympics" display="https://en.wikipedia.org/wiki/San_Marino_at_the_2026_Winter_Olympics" xr:uid="{DCF3D9B2-FC57-408D-8116-A9AD76EE0035}"/>
    <hyperlink ref="A74" r:id="rId73" tooltip="Saudi Arabia at the 2026 Winter Olympics" display="https://en.wikipedia.org/wiki/Saudi_Arabia_at_the_2026_Winter_Olympics" xr:uid="{0D376768-DCB8-452A-A999-2A88AFB375D6}"/>
    <hyperlink ref="A75" r:id="rId74" tooltip="Serbia at the 2026 Winter Olympics" display="https://en.wikipedia.org/wiki/Serbia_at_the_2026_Winter_Olympics" xr:uid="{05DCB1C7-6F2E-4FEF-BF8D-DB98D217EC15}"/>
    <hyperlink ref="A76" r:id="rId75" tooltip="Singapore at the 2026 Winter Olympics" display="https://en.wikipedia.org/wiki/Singapore_at_the_2026_Winter_Olympics" xr:uid="{7950F056-2396-4500-9BE4-A3106D57D40B}"/>
    <hyperlink ref="A77" r:id="rId76" tooltip="Slovakia at the 2026 Winter Olympics" display="https://en.wikipedia.org/wiki/Slovakia_at_the_2026_Winter_Olympics" xr:uid="{FE3D038E-F26C-4E9B-8D8B-DEE623DD832F}"/>
    <hyperlink ref="A78" r:id="rId77" tooltip="Slovenia at the 2026 Winter Olympics" display="https://en.wikipedia.org/wiki/Slovenia_at_the_2026_Winter_Olympics" xr:uid="{0F31E373-0CEB-425C-9080-D61FB93B1C0F}"/>
    <hyperlink ref="A79" r:id="rId78" tooltip="South Africa at the 2026 Winter Olympics" display="https://en.wikipedia.org/wiki/South_Africa_at_the_2026_Winter_Olympics" xr:uid="{B4712885-7441-4382-9F49-A42B63634A93}"/>
    <hyperlink ref="A80" r:id="rId79" tooltip="South Korea at the 2026 Winter Olympics" display="https://en.wikipedia.org/wiki/South_Korea_at_the_2026_Winter_Olympics" xr:uid="{9B6A8A5C-B7DA-403E-B0F8-7B8AB93878AF}"/>
    <hyperlink ref="A81" r:id="rId80" tooltip="Spain at the 2026 Winter Olympics" display="https://en.wikipedia.org/wiki/Spain_at_the_2026_Winter_Olympics" xr:uid="{0C4BD2D0-4E7C-497F-B1C4-A37496D68469}"/>
    <hyperlink ref="A82" r:id="rId81" tooltip="Sweden at the 2026 Winter Olympics" display="https://en.wikipedia.org/wiki/Sweden_at_the_2026_Winter_Olympics" xr:uid="{2FCBB596-D743-4117-B344-8174696ABE81}"/>
    <hyperlink ref="A83" r:id="rId82" tooltip="Switzerland at the 2026 Winter Olympics" display="https://en.wikipedia.org/wiki/Switzerland_at_the_2026_Winter_Olympics" xr:uid="{E056DDEF-86D9-4F74-AEA3-B8E8E6A37284}"/>
    <hyperlink ref="A84" r:id="rId83" tooltip="Chinese Taipei at the 2026 Winter Olympics" display="https://en.wikipedia.org/wiki/Chinese_Taipei_at_the_2026_Winter_Olympics" xr:uid="{0D249613-D220-4BB1-A2BD-2317B69E83FB}"/>
    <hyperlink ref="A85" r:id="rId84" tooltip="Thailand at the 2026 Winter Olympics" display="https://en.wikipedia.org/wiki/Thailand_at_the_2026_Winter_Olympics" xr:uid="{6032D7EB-A359-4105-A8D3-857816DD30B0}"/>
    <hyperlink ref="A86" r:id="rId85" tooltip="Trinidad and Tobago at the 2026 Winter Olympics" display="https://en.wikipedia.org/wiki/Trinidad_and_Tobago_at_the_2026_Winter_Olympics" xr:uid="{86F705FA-2DA3-4BC3-AF4E-E66CAE896483}"/>
    <hyperlink ref="A87" r:id="rId86" tooltip="Turkey at the 2026 Winter Olympics" display="https://en.wikipedia.org/wiki/Turkey_at_the_2026_Winter_Olympics" xr:uid="{31A812BE-B978-4E2E-8B26-0733F224E637}"/>
    <hyperlink ref="A88" r:id="rId87" tooltip="Ukraine at the 2026 Winter Olympics" display="https://en.wikipedia.org/wiki/Ukraine_at_the_2026_Winter_Olympics" xr:uid="{197D43BA-6B8A-47D7-B24B-10D5CF859BCB}"/>
    <hyperlink ref="A89" r:id="rId88" tooltip="United Arab Emirates at the 2026 Winter Olympics" display="https://en.wikipedia.org/wiki/United_Arab_Emirates_at_the_2026_Winter_Olympics" xr:uid="{1C45CCE0-3562-4A38-A605-24219A813631}"/>
    <hyperlink ref="A90" r:id="rId89" tooltip="United States at the 2026 Winter Olympics" display="https://en.wikipedia.org/wiki/United_States_at_the_2026_Winter_Olympics" xr:uid="{55642DE4-D2F2-4FF2-98F9-DE2AA7C03F4B}"/>
    <hyperlink ref="A91" r:id="rId90" tooltip="Uruguay at the 2026 Winter Olympics" display="https://en.wikipedia.org/wiki/Uruguay_at_the_2026_Winter_Olympics" xr:uid="{E10204D8-BB52-426E-A534-6C76155BD688}"/>
    <hyperlink ref="A92" r:id="rId91" tooltip="Uzbekistan at the 2026 Winter Olympics" display="https://en.wikipedia.org/wiki/Uzbekistan_at_the_2026_Winter_Olympics" xr:uid="{EB48F030-B596-4F6D-80CD-F1E60DE55B1F}"/>
    <hyperlink ref="A93" r:id="rId92" tooltip="Venezuela at the 2026 Winter Olympics" display="https://en.wikipedia.org/wiki/Venezuela_at_the_2026_Winter_Olympics" xr:uid="{21B0E509-9D5B-462C-8073-FCD9AAB6CD06}"/>
  </hyperlinks>
  <pageMargins left="0.7" right="0.7" top="0.75" bottom="0.75" header="0.3" footer="0.3"/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88218-E292-4424-B36D-CD70B968B768}">
  <dimension ref="A1:Y98"/>
  <sheetViews>
    <sheetView workbookViewId="0">
      <selection activeCell="N17" sqref="N17"/>
    </sheetView>
  </sheetViews>
  <sheetFormatPr defaultRowHeight="14.25" x14ac:dyDescent="0.2"/>
  <cols>
    <col min="1" max="1" width="9" customWidth="1"/>
    <col min="2" max="2" width="6" customWidth="1"/>
    <col min="3" max="3" width="27.375" customWidth="1"/>
    <col min="4" max="4" width="10.875" bestFit="1" customWidth="1"/>
    <col min="5" max="5" width="11.625" bestFit="1" customWidth="1"/>
    <col min="6" max="6" width="13.125" bestFit="1" customWidth="1"/>
    <col min="7" max="7" width="11.125" bestFit="1" customWidth="1"/>
    <col min="8" max="8" width="8.5" bestFit="1" customWidth="1"/>
    <col min="9" max="9" width="11.125" bestFit="1" customWidth="1"/>
  </cols>
  <sheetData>
    <row r="1" spans="1:25" x14ac:dyDescent="0.2"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</row>
    <row r="2" spans="1:25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25" ht="15.75" thickBot="1" x14ac:dyDescent="0.25">
      <c r="B3" s="12" t="s">
        <v>266</v>
      </c>
      <c r="C3" s="26" t="s">
        <v>141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25"/>
      <c r="K3" s="25"/>
      <c r="L3" s="25"/>
      <c r="M3" s="25"/>
      <c r="R3" s="18"/>
      <c r="S3" s="19"/>
      <c r="T3" s="18"/>
      <c r="U3" s="18"/>
      <c r="V3" s="18"/>
      <c r="W3" s="18"/>
      <c r="X3" s="18"/>
      <c r="Y3" s="18"/>
    </row>
    <row r="4" spans="1:25" ht="15.75" thickBot="1" x14ac:dyDescent="0.25">
      <c r="A4" s="11"/>
      <c r="B4" s="12" t="s">
        <v>266</v>
      </c>
      <c r="C4" s="26" t="s">
        <v>142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M4" s="20"/>
      <c r="N4" s="18"/>
      <c r="O4" s="19"/>
      <c r="P4" s="18"/>
      <c r="Q4" s="18"/>
      <c r="R4" s="18"/>
      <c r="S4" s="18"/>
      <c r="T4" s="18"/>
      <c r="U4" s="18"/>
    </row>
    <row r="5" spans="1:25" ht="15.75" thickBot="1" x14ac:dyDescent="0.25">
      <c r="A5" s="11"/>
      <c r="B5" s="12" t="s">
        <v>266</v>
      </c>
      <c r="C5" s="26" t="s">
        <v>143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M5" s="20"/>
      <c r="N5" s="18"/>
      <c r="O5" s="19"/>
      <c r="P5" s="18"/>
      <c r="Q5" s="18"/>
      <c r="R5" s="18"/>
      <c r="S5" s="18"/>
      <c r="T5" s="18"/>
      <c r="U5" s="18"/>
    </row>
    <row r="6" spans="1:25" ht="15.75" thickBot="1" x14ac:dyDescent="0.25">
      <c r="A6" s="11"/>
      <c r="B6" s="12" t="s">
        <v>266</v>
      </c>
      <c r="C6" s="26" t="s">
        <v>144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M6" s="20"/>
      <c r="N6" s="18"/>
      <c r="O6" s="19"/>
      <c r="P6" s="18"/>
      <c r="Q6" s="18"/>
      <c r="R6" s="18"/>
      <c r="S6" s="18"/>
      <c r="T6" s="18"/>
      <c r="U6" s="18"/>
    </row>
    <row r="7" spans="1:25" ht="15.75" thickBot="1" x14ac:dyDescent="0.25">
      <c r="A7" s="11"/>
      <c r="B7" s="12" t="s">
        <v>266</v>
      </c>
      <c r="C7" s="26" t="s">
        <v>145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M7" s="20"/>
      <c r="N7" s="18"/>
      <c r="O7" s="19"/>
      <c r="P7" s="18"/>
      <c r="Q7" s="18"/>
      <c r="R7" s="18"/>
      <c r="S7" s="18"/>
      <c r="T7" s="18"/>
      <c r="U7" s="18"/>
    </row>
    <row r="8" spans="1:25" ht="15.75" thickBot="1" x14ac:dyDescent="0.25">
      <c r="A8" s="11"/>
      <c r="B8" s="12">
        <v>6</v>
      </c>
      <c r="C8" s="26" t="s">
        <v>146</v>
      </c>
      <c r="D8" s="12">
        <v>2</v>
      </c>
      <c r="E8" s="14">
        <v>4</v>
      </c>
      <c r="F8" s="12">
        <v>0</v>
      </c>
      <c r="G8" s="12">
        <v>6</v>
      </c>
      <c r="H8" s="12">
        <v>0.66</v>
      </c>
      <c r="I8" s="12">
        <v>0.9</v>
      </c>
      <c r="M8" s="20"/>
      <c r="N8" s="18"/>
      <c r="O8" s="19"/>
      <c r="P8" s="18"/>
      <c r="Q8" s="18"/>
      <c r="R8" s="18"/>
      <c r="S8" s="18"/>
      <c r="T8" s="18"/>
      <c r="U8" s="18"/>
    </row>
    <row r="9" spans="1:25" ht="15.75" thickBot="1" x14ac:dyDescent="0.25">
      <c r="A9" s="11"/>
      <c r="B9" s="12" t="s">
        <v>266</v>
      </c>
      <c r="C9" s="26" t="s">
        <v>147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M9" s="20"/>
      <c r="N9" s="18"/>
      <c r="O9" s="19"/>
      <c r="P9" s="18"/>
      <c r="Q9" s="18"/>
      <c r="R9" s="18"/>
      <c r="S9" s="18"/>
      <c r="T9" s="18"/>
      <c r="U9" s="18"/>
    </row>
    <row r="10" spans="1:25" ht="15.75" thickBot="1" x14ac:dyDescent="0.25">
      <c r="A10" s="11"/>
      <c r="B10" s="12">
        <v>19</v>
      </c>
      <c r="C10" s="26" t="s">
        <v>148</v>
      </c>
      <c r="D10" s="12">
        <v>0</v>
      </c>
      <c r="E10" s="12">
        <v>0</v>
      </c>
      <c r="F10" s="12">
        <v>1</v>
      </c>
      <c r="G10" s="12">
        <v>1</v>
      </c>
      <c r="H10" s="12">
        <v>0.08</v>
      </c>
      <c r="I10" s="12">
        <v>0.11</v>
      </c>
      <c r="M10" s="20"/>
      <c r="N10" s="18"/>
      <c r="O10" s="19"/>
      <c r="P10" s="18"/>
      <c r="Q10" s="18"/>
      <c r="R10" s="18"/>
      <c r="S10" s="18"/>
      <c r="T10" s="18"/>
      <c r="U10" s="18"/>
    </row>
    <row r="11" spans="1:25" ht="15.75" thickBot="1" x14ac:dyDescent="0.25">
      <c r="A11" s="11"/>
      <c r="B11" s="12" t="s">
        <v>266</v>
      </c>
      <c r="C11" s="26" t="s">
        <v>149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M11" s="20"/>
      <c r="N11" s="18"/>
      <c r="O11" s="19"/>
      <c r="P11" s="18"/>
      <c r="Q11" s="18"/>
      <c r="R11" s="18"/>
      <c r="S11" s="18"/>
      <c r="T11" s="18"/>
      <c r="U11" s="18"/>
    </row>
    <row r="12" spans="1:25" ht="15.75" thickBot="1" x14ac:dyDescent="0.25">
      <c r="A12" s="11"/>
      <c r="B12" s="12" t="s">
        <v>266</v>
      </c>
      <c r="C12" s="26" t="s">
        <v>150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M12" s="20"/>
      <c r="N12" s="18"/>
      <c r="O12" s="19"/>
      <c r="P12" s="18"/>
      <c r="Q12" s="18"/>
      <c r="R12" s="18"/>
      <c r="S12" s="18"/>
      <c r="T12" s="18"/>
      <c r="U12" s="18"/>
    </row>
    <row r="13" spans="1:25" ht="15.75" thickBot="1" x14ac:dyDescent="0.25">
      <c r="A13" s="11"/>
      <c r="B13" s="12" t="s">
        <v>266</v>
      </c>
      <c r="C13" s="26" t="s">
        <v>151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M13" s="20"/>
      <c r="N13" s="18"/>
      <c r="O13" s="19"/>
      <c r="P13" s="18"/>
      <c r="Q13" s="18"/>
      <c r="R13" s="18"/>
      <c r="S13" s="18"/>
      <c r="T13" s="18"/>
      <c r="U13" s="18"/>
    </row>
    <row r="14" spans="1:25" ht="15.75" thickBot="1" x14ac:dyDescent="0.25">
      <c r="A14" s="11"/>
      <c r="B14" s="12" t="s">
        <v>266</v>
      </c>
      <c r="C14" s="26" t="s">
        <v>152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M14" s="20"/>
      <c r="N14" s="18"/>
      <c r="O14" s="19"/>
      <c r="P14" s="18"/>
      <c r="Q14" s="18"/>
      <c r="R14" s="18"/>
      <c r="S14" s="18"/>
      <c r="T14" s="18"/>
      <c r="U14" s="18"/>
    </row>
    <row r="15" spans="1:25" ht="15.75" thickBot="1" x14ac:dyDescent="0.25">
      <c r="A15" s="11"/>
      <c r="B15" s="12">
        <v>19</v>
      </c>
      <c r="C15" s="26" t="s">
        <v>153</v>
      </c>
      <c r="D15" s="12">
        <v>0</v>
      </c>
      <c r="E15" s="12">
        <v>0</v>
      </c>
      <c r="F15" s="12">
        <v>1</v>
      </c>
      <c r="G15" s="12">
        <v>1</v>
      </c>
      <c r="H15" s="12">
        <v>0.16</v>
      </c>
      <c r="I15" s="12">
        <v>0.4</v>
      </c>
      <c r="M15" s="20"/>
      <c r="N15" s="18"/>
      <c r="O15" s="19"/>
      <c r="P15" s="18"/>
      <c r="Q15" s="18"/>
      <c r="R15" s="18"/>
      <c r="S15" s="18"/>
      <c r="T15" s="18"/>
      <c r="U15" s="18"/>
    </row>
    <row r="16" spans="1:25" ht="15.75" thickBot="1" x14ac:dyDescent="0.25">
      <c r="A16" s="11"/>
      <c r="B16" s="12">
        <v>13</v>
      </c>
      <c r="C16" s="26" t="s">
        <v>154</v>
      </c>
      <c r="D16" s="12">
        <v>0</v>
      </c>
      <c r="E16" s="12">
        <v>1</v>
      </c>
      <c r="F16" s="12">
        <v>2</v>
      </c>
      <c r="G16" s="12">
        <v>3</v>
      </c>
      <c r="H16" s="12">
        <v>7.0000000000000007E-2</v>
      </c>
      <c r="I16" s="12">
        <v>0.11</v>
      </c>
      <c r="M16" s="20"/>
      <c r="N16" s="18"/>
      <c r="O16" s="19"/>
      <c r="P16" s="18"/>
      <c r="Q16" s="18"/>
      <c r="R16" s="18"/>
      <c r="S16" s="18"/>
      <c r="T16" s="18"/>
      <c r="U16" s="18"/>
    </row>
    <row r="17" spans="1:21" ht="15.75" thickBot="1" x14ac:dyDescent="0.25">
      <c r="A17" s="11"/>
      <c r="B17" s="12" t="s">
        <v>266</v>
      </c>
      <c r="C17" s="26" t="s">
        <v>155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M17" s="20"/>
      <c r="N17" s="18"/>
      <c r="O17" s="19"/>
      <c r="P17" s="18"/>
      <c r="Q17" s="18"/>
      <c r="R17" s="18"/>
      <c r="S17" s="18"/>
      <c r="T17" s="18"/>
      <c r="U17" s="18"/>
    </row>
    <row r="18" spans="1:21" ht="15.75" thickBot="1" x14ac:dyDescent="0.25">
      <c r="A18" s="11"/>
      <c r="B18" s="12">
        <v>14</v>
      </c>
      <c r="C18" s="26" t="s">
        <v>156</v>
      </c>
      <c r="D18" s="12">
        <v>0</v>
      </c>
      <c r="E18" s="12">
        <v>1</v>
      </c>
      <c r="F18" s="12">
        <v>1</v>
      </c>
      <c r="G18" s="12">
        <v>2</v>
      </c>
      <c r="H18" s="12">
        <v>0</v>
      </c>
      <c r="I18" s="12">
        <v>0.01</v>
      </c>
      <c r="M18" s="20"/>
      <c r="N18" s="18"/>
      <c r="O18" s="19"/>
      <c r="P18" s="18"/>
      <c r="Q18" s="18"/>
      <c r="R18" s="18"/>
      <c r="S18" s="18"/>
      <c r="T18" s="18"/>
      <c r="U18" s="18"/>
    </row>
    <row r="19" spans="1:21" ht="15.75" thickBot="1" x14ac:dyDescent="0.25">
      <c r="A19" s="11"/>
      <c r="B19" s="12" t="s">
        <v>266</v>
      </c>
      <c r="C19" s="26" t="s">
        <v>157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M19" s="20"/>
      <c r="N19" s="18"/>
      <c r="O19" s="19"/>
      <c r="P19" s="18"/>
      <c r="Q19" s="18"/>
      <c r="R19" s="18"/>
      <c r="S19" s="18"/>
      <c r="T19" s="18"/>
      <c r="U19" s="18"/>
    </row>
    <row r="20" spans="1:21" ht="15.75" thickBot="1" x14ac:dyDescent="0.25">
      <c r="A20" s="11"/>
      <c r="B20" s="12" t="s">
        <v>266</v>
      </c>
      <c r="C20" s="26" t="s">
        <v>158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M20" s="20"/>
      <c r="N20" s="18"/>
      <c r="O20" s="19"/>
      <c r="P20" s="18"/>
      <c r="Q20" s="18"/>
      <c r="R20" s="18"/>
      <c r="S20" s="18"/>
      <c r="T20" s="18"/>
      <c r="U20" s="18"/>
    </row>
    <row r="21" spans="1:21" ht="15.75" thickBot="1" x14ac:dyDescent="0.25">
      <c r="A21" s="11"/>
      <c r="B21" s="12" t="s">
        <v>266</v>
      </c>
      <c r="C21" s="26" t="s">
        <v>159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M21" s="20"/>
      <c r="N21" s="18"/>
      <c r="O21" s="19"/>
      <c r="P21" s="18"/>
      <c r="Q21" s="18"/>
      <c r="R21" s="18"/>
      <c r="S21" s="18"/>
      <c r="T21" s="18"/>
      <c r="U21" s="18"/>
    </row>
    <row r="22" spans="1:21" ht="15.75" thickBot="1" x14ac:dyDescent="0.25">
      <c r="A22" s="11"/>
      <c r="B22" s="12" t="s">
        <v>266</v>
      </c>
      <c r="C22" s="26" t="s">
        <v>160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M22" s="20"/>
      <c r="N22" s="18"/>
      <c r="O22" s="19"/>
      <c r="P22" s="18"/>
      <c r="Q22" s="18"/>
      <c r="R22" s="18"/>
      <c r="S22" s="18"/>
      <c r="T22" s="18"/>
      <c r="U22" s="18"/>
    </row>
    <row r="23" spans="1:21" ht="15.75" thickBot="1" x14ac:dyDescent="0.25">
      <c r="A23" s="11"/>
      <c r="B23" s="12">
        <v>10</v>
      </c>
      <c r="C23" s="26" t="s">
        <v>161</v>
      </c>
      <c r="D23" s="12">
        <v>1</v>
      </c>
      <c r="E23" s="12">
        <v>1</v>
      </c>
      <c r="F23" s="12">
        <v>0</v>
      </c>
      <c r="G23" s="12">
        <v>2</v>
      </c>
      <c r="H23" s="12">
        <v>0.18</v>
      </c>
      <c r="I23" s="12">
        <v>0.32</v>
      </c>
      <c r="M23" s="20"/>
      <c r="N23" s="18"/>
      <c r="O23" s="19"/>
      <c r="P23" s="18"/>
      <c r="Q23" s="18"/>
      <c r="R23" s="18"/>
      <c r="S23" s="18"/>
      <c r="T23" s="18"/>
      <c r="U23" s="18"/>
    </row>
    <row r="24" spans="1:21" ht="15.75" thickBot="1" x14ac:dyDescent="0.25">
      <c r="A24" s="11"/>
      <c r="B24" s="12" t="s">
        <v>266</v>
      </c>
      <c r="C24" s="26" t="s">
        <v>162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M24" s="20"/>
      <c r="N24" s="18"/>
      <c r="O24" s="19"/>
      <c r="P24" s="18"/>
      <c r="Q24" s="18"/>
      <c r="R24" s="18"/>
      <c r="S24" s="18"/>
      <c r="T24" s="18"/>
      <c r="U24" s="18"/>
    </row>
    <row r="25" spans="1:21" ht="15.75" thickBot="1" x14ac:dyDescent="0.25">
      <c r="A25" s="11"/>
      <c r="B25" s="12" t="s">
        <v>266</v>
      </c>
      <c r="C25" s="26" t="s">
        <v>163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M25" s="20"/>
      <c r="N25" s="18"/>
      <c r="O25" s="19"/>
      <c r="P25" s="18"/>
      <c r="Q25" s="18"/>
      <c r="R25" s="18"/>
      <c r="S25" s="18"/>
      <c r="T25" s="18"/>
      <c r="U25" s="18"/>
    </row>
    <row r="26" spans="1:21" ht="15.75" thickBot="1" x14ac:dyDescent="0.25">
      <c r="A26" s="11"/>
      <c r="B26" s="12" t="s">
        <v>266</v>
      </c>
      <c r="C26" s="26" t="s">
        <v>164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M26" s="20"/>
      <c r="N26" s="18"/>
      <c r="O26" s="19"/>
      <c r="P26" s="18"/>
      <c r="Q26" s="18"/>
      <c r="R26" s="18"/>
      <c r="S26" s="18"/>
      <c r="T26" s="18"/>
      <c r="U26" s="18"/>
    </row>
    <row r="27" spans="1:21" ht="15.75" thickBot="1" x14ac:dyDescent="0.25">
      <c r="A27" s="11"/>
      <c r="B27" s="12" t="s">
        <v>266</v>
      </c>
      <c r="C27" s="26" t="s">
        <v>165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M27" s="20"/>
      <c r="N27" s="18"/>
      <c r="O27" s="19"/>
      <c r="P27" s="18"/>
      <c r="Q27" s="18"/>
      <c r="R27" s="18"/>
      <c r="S27" s="18"/>
      <c r="T27" s="18"/>
      <c r="U27" s="18"/>
    </row>
    <row r="28" spans="1:21" ht="15.75" thickBot="1" x14ac:dyDescent="0.25">
      <c r="A28" s="11"/>
      <c r="B28" s="12">
        <v>19</v>
      </c>
      <c r="C28" s="26" t="s">
        <v>166</v>
      </c>
      <c r="D28" s="12">
        <v>0</v>
      </c>
      <c r="E28" s="12">
        <v>0</v>
      </c>
      <c r="F28" s="12">
        <v>1</v>
      </c>
      <c r="G28" s="12">
        <v>1</v>
      </c>
      <c r="H28" s="12">
        <v>0.18</v>
      </c>
      <c r="I28" s="12">
        <v>0.28000000000000003</v>
      </c>
      <c r="M28" s="20"/>
      <c r="N28" s="18"/>
      <c r="O28" s="19"/>
      <c r="P28" s="18"/>
      <c r="Q28" s="18"/>
      <c r="R28" s="18"/>
      <c r="S28" s="18"/>
      <c r="T28" s="18"/>
      <c r="U28" s="18"/>
    </row>
    <row r="29" spans="1:21" ht="15.75" thickBot="1" x14ac:dyDescent="0.25">
      <c r="A29" s="11"/>
      <c r="B29" s="12">
        <v>9</v>
      </c>
      <c r="C29" s="26" t="s">
        <v>167</v>
      </c>
      <c r="D29" s="12">
        <v>1</v>
      </c>
      <c r="E29" s="12">
        <v>2</v>
      </c>
      <c r="F29" s="12">
        <v>0</v>
      </c>
      <c r="G29" s="12">
        <v>3</v>
      </c>
      <c r="H29" s="12">
        <v>0.04</v>
      </c>
      <c r="I29" s="12">
        <v>7.0000000000000007E-2</v>
      </c>
      <c r="M29" s="20"/>
      <c r="N29" s="18"/>
      <c r="O29" s="19"/>
      <c r="P29" s="18"/>
      <c r="Q29" s="18"/>
      <c r="R29" s="18"/>
      <c r="S29" s="18"/>
      <c r="T29" s="18"/>
      <c r="U29" s="18"/>
    </row>
    <row r="30" spans="1:21" ht="15.75" thickBot="1" x14ac:dyDescent="0.25">
      <c r="A30" s="11"/>
      <c r="B30" s="12" t="s">
        <v>266</v>
      </c>
      <c r="C30" s="26" t="s">
        <v>168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M30" s="20"/>
      <c r="N30" s="18"/>
      <c r="O30" s="19"/>
      <c r="P30" s="18"/>
      <c r="Q30" s="18"/>
      <c r="R30" s="18"/>
      <c r="S30" s="18"/>
      <c r="T30" s="18"/>
      <c r="U30" s="18"/>
    </row>
    <row r="31" spans="1:21" ht="15.75" thickBot="1" x14ac:dyDescent="0.25">
      <c r="A31" s="11"/>
      <c r="B31" s="12">
        <v>3</v>
      </c>
      <c r="C31" s="26" t="s">
        <v>169</v>
      </c>
      <c r="D31" s="12">
        <v>3</v>
      </c>
      <c r="E31" s="12">
        <v>2</v>
      </c>
      <c r="F31" s="12">
        <v>1</v>
      </c>
      <c r="G31" s="12">
        <v>6</v>
      </c>
      <c r="H31" s="12">
        <v>7.0000000000000007E-2</v>
      </c>
      <c r="I31" s="12">
        <v>0.1</v>
      </c>
      <c r="M31" s="20"/>
      <c r="N31" s="18"/>
      <c r="O31" s="19"/>
      <c r="P31" s="18"/>
      <c r="Q31" s="18"/>
      <c r="R31" s="18"/>
      <c r="S31" s="18"/>
      <c r="T31" s="18"/>
      <c r="U31" s="18"/>
    </row>
    <row r="32" spans="1:21" ht="15.75" thickBot="1" x14ac:dyDescent="0.25">
      <c r="A32" s="11"/>
      <c r="B32" s="12" t="s">
        <v>266</v>
      </c>
      <c r="C32" s="26" t="s">
        <v>170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M32" s="20"/>
      <c r="N32" s="18"/>
      <c r="O32" s="19"/>
      <c r="P32" s="18"/>
      <c r="Q32" s="18"/>
      <c r="R32" s="18"/>
      <c r="S32" s="18"/>
      <c r="T32" s="18"/>
      <c r="U32" s="18"/>
    </row>
    <row r="33" spans="1:21" ht="15.75" thickBot="1" x14ac:dyDescent="0.25">
      <c r="A33" s="11"/>
      <c r="B33" s="12" t="s">
        <v>266</v>
      </c>
      <c r="C33" s="26" t="s">
        <v>171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M33" s="20"/>
      <c r="N33" s="18"/>
      <c r="O33" s="19"/>
      <c r="P33" s="18"/>
      <c r="Q33" s="18"/>
      <c r="R33" s="18"/>
      <c r="S33" s="18"/>
      <c r="T33" s="18"/>
      <c r="U33" s="18"/>
    </row>
    <row r="34" spans="1:21" ht="15.75" thickBot="1" x14ac:dyDescent="0.25">
      <c r="A34" s="11"/>
      <c r="B34" s="12" t="s">
        <v>266</v>
      </c>
      <c r="C34" s="26" t="s">
        <v>172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M34" s="20"/>
      <c r="N34" s="18"/>
      <c r="O34" s="19"/>
      <c r="P34" s="18"/>
      <c r="Q34" s="18"/>
      <c r="R34" s="18"/>
      <c r="S34" s="18"/>
      <c r="T34" s="18"/>
      <c r="U34" s="18"/>
    </row>
    <row r="35" spans="1:21" ht="15.75" thickBot="1" x14ac:dyDescent="0.25">
      <c r="A35" s="11"/>
      <c r="B35" s="12" t="s">
        <v>266</v>
      </c>
      <c r="C35" s="26" t="s">
        <v>173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M35" s="20"/>
      <c r="N35" s="18"/>
      <c r="O35" s="19"/>
      <c r="P35" s="18"/>
      <c r="Q35" s="18"/>
      <c r="R35" s="18"/>
      <c r="S35" s="18"/>
      <c r="T35" s="18"/>
      <c r="U35" s="18"/>
    </row>
    <row r="36" spans="1:21" ht="15.75" thickBot="1" x14ac:dyDescent="0.25">
      <c r="A36" s="11"/>
      <c r="B36" s="12" t="s">
        <v>266</v>
      </c>
      <c r="C36" s="26" t="s">
        <v>174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M36" s="20"/>
      <c r="N36" s="18"/>
      <c r="O36" s="19"/>
      <c r="P36" s="18"/>
      <c r="Q36" s="18"/>
      <c r="R36" s="18"/>
      <c r="S36" s="18"/>
      <c r="T36" s="18"/>
      <c r="U36" s="18"/>
    </row>
    <row r="37" spans="1:21" ht="15.75" thickBot="1" x14ac:dyDescent="0.25">
      <c r="A37" s="11"/>
      <c r="B37" s="12" t="s">
        <v>266</v>
      </c>
      <c r="C37" s="26" t="s">
        <v>175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M37" s="20"/>
      <c r="N37" s="18"/>
      <c r="O37" s="19"/>
      <c r="P37" s="18"/>
      <c r="Q37" s="18"/>
      <c r="R37" s="18"/>
      <c r="S37" s="18"/>
      <c r="T37" s="18"/>
      <c r="U37" s="18"/>
    </row>
    <row r="38" spans="1:21" ht="15.75" thickBot="1" x14ac:dyDescent="0.25">
      <c r="A38" s="11"/>
      <c r="B38" s="12" t="s">
        <v>266</v>
      </c>
      <c r="C38" s="26" t="s">
        <v>176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M38" s="20"/>
      <c r="N38" s="18"/>
      <c r="O38" s="19"/>
      <c r="P38" s="18"/>
      <c r="Q38" s="18"/>
      <c r="R38" s="18"/>
      <c r="S38" s="18"/>
      <c r="T38" s="18"/>
      <c r="U38" s="18"/>
    </row>
    <row r="39" spans="1:21" ht="15.75" thickBot="1" x14ac:dyDescent="0.25">
      <c r="A39" s="11"/>
      <c r="B39" s="12" t="s">
        <v>266</v>
      </c>
      <c r="C39" s="26" t="s">
        <v>177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M39" s="20"/>
      <c r="N39" s="18"/>
      <c r="O39" s="19"/>
      <c r="P39" s="18"/>
      <c r="Q39" s="18"/>
      <c r="R39" s="18"/>
      <c r="S39" s="18"/>
      <c r="T39" s="18"/>
      <c r="U39" s="18"/>
    </row>
    <row r="40" spans="1:21" ht="15.75" thickBot="1" x14ac:dyDescent="0.25">
      <c r="A40" s="11"/>
      <c r="B40" s="12" t="s">
        <v>266</v>
      </c>
      <c r="C40" s="26" t="s">
        <v>178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M40" s="20"/>
      <c r="N40" s="18"/>
      <c r="O40" s="19"/>
      <c r="P40" s="18"/>
      <c r="Q40" s="18"/>
      <c r="R40" s="18"/>
      <c r="S40" s="18"/>
      <c r="T40" s="18"/>
      <c r="U40" s="18"/>
    </row>
    <row r="41" spans="1:21" ht="15.75" thickBot="1" x14ac:dyDescent="0.25">
      <c r="A41" s="11"/>
      <c r="B41" s="12" t="s">
        <v>266</v>
      </c>
      <c r="C41" s="26" t="s">
        <v>179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M41" s="20"/>
      <c r="N41" s="18"/>
      <c r="O41" s="19"/>
      <c r="P41" s="18"/>
      <c r="Q41" s="18"/>
      <c r="R41" s="18"/>
      <c r="S41" s="18"/>
      <c r="T41" s="18"/>
      <c r="U41" s="18"/>
    </row>
    <row r="42" spans="1:21" ht="15.75" thickBot="1" x14ac:dyDescent="0.25">
      <c r="A42" s="11"/>
      <c r="B42" s="12" t="s">
        <v>266</v>
      </c>
      <c r="C42" s="26" t="s">
        <v>180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M42" s="20"/>
      <c r="N42" s="18"/>
      <c r="O42" s="19"/>
      <c r="P42" s="18"/>
      <c r="Q42" s="18"/>
      <c r="R42" s="18"/>
      <c r="S42" s="18"/>
      <c r="T42" s="18"/>
      <c r="U42" s="18"/>
    </row>
    <row r="43" spans="1:21" ht="15.75" thickBot="1" x14ac:dyDescent="0.25">
      <c r="A43" s="11"/>
      <c r="B43" s="12">
        <v>7</v>
      </c>
      <c r="C43" s="26" t="s">
        <v>139</v>
      </c>
      <c r="D43" s="12">
        <v>2</v>
      </c>
      <c r="E43" s="12">
        <v>2</v>
      </c>
      <c r="F43" s="15">
        <v>7</v>
      </c>
      <c r="G43" s="12">
        <v>11</v>
      </c>
      <c r="H43" s="12">
        <v>0.19</v>
      </c>
      <c r="I43" s="12">
        <v>0.3</v>
      </c>
      <c r="M43" s="20"/>
      <c r="N43" s="18"/>
      <c r="O43" s="19"/>
      <c r="P43" s="18"/>
      <c r="Q43" s="18"/>
      <c r="R43" s="18"/>
      <c r="S43" s="18"/>
      <c r="T43" s="18"/>
      <c r="U43" s="18"/>
    </row>
    <row r="44" spans="1:21" ht="15.75" thickBot="1" x14ac:dyDescent="0.25">
      <c r="A44" s="11"/>
      <c r="B44" s="12" t="s">
        <v>266</v>
      </c>
      <c r="C44" s="26" t="s">
        <v>181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M44" s="20"/>
      <c r="N44" s="18"/>
      <c r="O44" s="19"/>
      <c r="P44" s="18"/>
      <c r="Q44" s="18"/>
      <c r="R44" s="18"/>
      <c r="S44" s="18"/>
      <c r="T44" s="18"/>
      <c r="U44" s="18"/>
    </row>
    <row r="45" spans="1:21" ht="15.75" thickBot="1" x14ac:dyDescent="0.25">
      <c r="A45" s="11"/>
      <c r="B45" s="12">
        <v>8</v>
      </c>
      <c r="C45" s="26" t="s">
        <v>182</v>
      </c>
      <c r="D45" s="12">
        <v>2</v>
      </c>
      <c r="E45" s="12">
        <v>2</v>
      </c>
      <c r="F45" s="12">
        <v>4</v>
      </c>
      <c r="G45" s="12">
        <v>8</v>
      </c>
      <c r="H45" s="12">
        <v>0.06</v>
      </c>
      <c r="I45" s="12">
        <v>0.12</v>
      </c>
      <c r="M45" s="20"/>
      <c r="N45" s="18"/>
      <c r="O45" s="19"/>
      <c r="P45" s="18"/>
      <c r="Q45" s="18"/>
      <c r="R45" s="18"/>
      <c r="S45" s="18"/>
      <c r="T45" s="18"/>
      <c r="U45" s="18"/>
    </row>
    <row r="46" spans="1:21" ht="15.75" thickBot="1" x14ac:dyDescent="0.25">
      <c r="A46" s="11"/>
      <c r="B46" s="12" t="s">
        <v>266</v>
      </c>
      <c r="C46" s="26" t="s">
        <v>183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M46" s="20"/>
      <c r="N46" s="18"/>
      <c r="O46" s="19"/>
      <c r="P46" s="18"/>
      <c r="Q46" s="18"/>
      <c r="R46" s="18"/>
      <c r="S46" s="18"/>
      <c r="T46" s="18"/>
      <c r="U46" s="18"/>
    </row>
    <row r="47" spans="1:21" ht="15.75" thickBot="1" x14ac:dyDescent="0.25">
      <c r="A47" s="11"/>
      <c r="B47" s="12" t="s">
        <v>266</v>
      </c>
      <c r="C47" s="26" t="s">
        <v>184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M47" s="20"/>
      <c r="N47" s="18"/>
      <c r="O47" s="19"/>
      <c r="P47" s="18"/>
      <c r="Q47" s="18"/>
      <c r="R47" s="18"/>
      <c r="S47" s="18"/>
      <c r="T47" s="18"/>
      <c r="U47" s="18"/>
    </row>
    <row r="48" spans="1:21" ht="15.75" thickBot="1" x14ac:dyDescent="0.25">
      <c r="A48" s="11"/>
      <c r="B48" s="12" t="s">
        <v>266</v>
      </c>
      <c r="C48" s="26" t="s">
        <v>185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M48" s="20"/>
      <c r="N48" s="18"/>
      <c r="O48" s="19"/>
      <c r="P48" s="18"/>
      <c r="Q48" s="18"/>
      <c r="R48" s="18"/>
      <c r="S48" s="18"/>
      <c r="T48" s="18"/>
      <c r="U48" s="18"/>
    </row>
    <row r="49" spans="1:21" ht="15.75" thickBot="1" x14ac:dyDescent="0.25">
      <c r="A49" s="11"/>
      <c r="B49" s="12" t="s">
        <v>266</v>
      </c>
      <c r="C49" s="26" t="s">
        <v>186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M49" s="20"/>
      <c r="N49" s="18"/>
      <c r="O49" s="19"/>
      <c r="P49" s="18"/>
      <c r="Q49" s="18"/>
      <c r="R49" s="18"/>
      <c r="S49" s="18"/>
      <c r="T49" s="18"/>
      <c r="U49" s="18"/>
    </row>
    <row r="50" spans="1:21" ht="15.75" thickBot="1" x14ac:dyDescent="0.25">
      <c r="A50" s="11"/>
      <c r="B50" s="12">
        <v>17</v>
      </c>
      <c r="C50" s="26" t="s">
        <v>187</v>
      </c>
      <c r="D50" s="12">
        <v>0</v>
      </c>
      <c r="E50" s="12">
        <v>1</v>
      </c>
      <c r="F50" s="12">
        <v>0</v>
      </c>
      <c r="G50" s="12">
        <v>1</v>
      </c>
      <c r="H50" s="12">
        <v>0.53</v>
      </c>
      <c r="I50" s="12">
        <v>1.26</v>
      </c>
      <c r="M50" s="20"/>
      <c r="N50" s="18"/>
      <c r="O50" s="19"/>
      <c r="P50" s="18"/>
      <c r="Q50" s="18"/>
      <c r="R50" s="18"/>
      <c r="S50" s="18"/>
      <c r="T50" s="18"/>
      <c r="U50" s="18"/>
    </row>
    <row r="51" spans="1:21" ht="15.75" thickBot="1" x14ac:dyDescent="0.25">
      <c r="A51" s="11"/>
      <c r="B51" s="12" t="s">
        <v>266</v>
      </c>
      <c r="C51" s="26" t="s">
        <v>188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M51" s="20"/>
      <c r="N51" s="18"/>
      <c r="O51" s="19"/>
      <c r="P51" s="18"/>
      <c r="Q51" s="18"/>
      <c r="R51" s="18"/>
      <c r="S51" s="18"/>
      <c r="T51" s="18"/>
      <c r="U51" s="18"/>
    </row>
    <row r="52" spans="1:21" ht="15.75" thickBot="1" x14ac:dyDescent="0.25">
      <c r="A52" s="11"/>
      <c r="B52" s="12" t="s">
        <v>266</v>
      </c>
      <c r="C52" s="26" t="s">
        <v>189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M52" s="20"/>
      <c r="N52" s="18"/>
      <c r="O52" s="19"/>
      <c r="P52" s="18"/>
      <c r="Q52" s="18"/>
      <c r="R52" s="18"/>
      <c r="S52" s="18"/>
      <c r="T52" s="18"/>
      <c r="U52" s="18"/>
    </row>
    <row r="53" spans="1:21" ht="15.75" thickBot="1" x14ac:dyDescent="0.25">
      <c r="A53" s="11"/>
      <c r="B53" s="12" t="s">
        <v>266</v>
      </c>
      <c r="C53" s="26" t="s">
        <v>190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M53" s="20"/>
      <c r="N53" s="18"/>
      <c r="O53" s="19"/>
      <c r="P53" s="18"/>
      <c r="Q53" s="18"/>
      <c r="R53" s="18"/>
      <c r="S53" s="18"/>
      <c r="T53" s="18"/>
      <c r="U53" s="18"/>
    </row>
    <row r="54" spans="1:21" ht="15.75" thickBot="1" x14ac:dyDescent="0.25">
      <c r="A54" s="11"/>
      <c r="B54" s="12" t="s">
        <v>266</v>
      </c>
      <c r="C54" s="26" t="s">
        <v>191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M54" s="20"/>
      <c r="N54" s="18"/>
      <c r="O54" s="19"/>
      <c r="P54" s="18"/>
      <c r="Q54" s="18"/>
      <c r="R54" s="18"/>
      <c r="S54" s="18"/>
      <c r="T54" s="18"/>
      <c r="U54" s="18"/>
    </row>
    <row r="55" spans="1:21" ht="15.75" thickBot="1" x14ac:dyDescent="0.25">
      <c r="A55" s="11"/>
      <c r="B55" s="12" t="s">
        <v>266</v>
      </c>
      <c r="C55" s="26" t="s">
        <v>192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M55" s="20"/>
      <c r="N55" s="18"/>
      <c r="O55" s="19"/>
      <c r="P55" s="18"/>
      <c r="Q55" s="18"/>
      <c r="R55" s="18"/>
      <c r="S55" s="18"/>
      <c r="T55" s="18"/>
      <c r="U55" s="18"/>
    </row>
    <row r="56" spans="1:21" ht="15.75" thickBot="1" x14ac:dyDescent="0.25">
      <c r="A56" s="11"/>
      <c r="B56" s="12" t="s">
        <v>266</v>
      </c>
      <c r="C56" s="26" t="s">
        <v>193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M56" s="20"/>
      <c r="N56" s="18"/>
      <c r="O56" s="19"/>
      <c r="P56" s="18"/>
      <c r="Q56" s="18"/>
      <c r="R56" s="18"/>
      <c r="S56" s="18"/>
      <c r="T56" s="18"/>
      <c r="U56" s="18"/>
    </row>
    <row r="57" spans="1:21" ht="15.75" thickBot="1" x14ac:dyDescent="0.25">
      <c r="A57" s="11"/>
      <c r="B57" s="12" t="s">
        <v>266</v>
      </c>
      <c r="C57" s="26" t="s">
        <v>194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M57" s="20"/>
      <c r="N57" s="18"/>
      <c r="O57" s="19"/>
      <c r="P57" s="18"/>
      <c r="Q57" s="18"/>
      <c r="R57" s="18"/>
      <c r="S57" s="18"/>
      <c r="T57" s="18"/>
      <c r="U57" s="18"/>
    </row>
    <row r="58" spans="1:21" ht="15.75" thickBot="1" x14ac:dyDescent="0.25">
      <c r="A58" s="11"/>
      <c r="B58" s="12" t="s">
        <v>266</v>
      </c>
      <c r="C58" s="26" t="s">
        <v>195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M58" s="20"/>
      <c r="N58" s="18"/>
      <c r="O58" s="19"/>
      <c r="P58" s="18"/>
      <c r="Q58" s="18"/>
      <c r="R58" s="18"/>
      <c r="S58" s="18"/>
      <c r="T58" s="18"/>
      <c r="U58" s="18"/>
    </row>
    <row r="59" spans="1:21" ht="15.75" thickBot="1" x14ac:dyDescent="0.25">
      <c r="A59" s="11"/>
      <c r="B59" s="12" t="s">
        <v>266</v>
      </c>
      <c r="C59" s="26" t="s">
        <v>196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M59" s="20"/>
      <c r="N59" s="18"/>
      <c r="O59" s="19"/>
      <c r="P59" s="18"/>
      <c r="Q59" s="18"/>
      <c r="R59" s="18"/>
      <c r="S59" s="18"/>
      <c r="T59" s="18"/>
      <c r="U59" s="18"/>
    </row>
    <row r="60" spans="1:21" ht="15.75" thickBot="1" x14ac:dyDescent="0.25">
      <c r="A60" s="11"/>
      <c r="B60" s="12" t="s">
        <v>266</v>
      </c>
      <c r="C60" s="26" t="s">
        <v>197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M60" s="20"/>
      <c r="N60" s="18"/>
      <c r="O60" s="19"/>
      <c r="P60" s="18"/>
      <c r="Q60" s="18"/>
      <c r="R60" s="18"/>
      <c r="S60" s="18"/>
      <c r="T60" s="18"/>
      <c r="U60" s="18"/>
    </row>
    <row r="61" spans="1:21" ht="15.75" thickBot="1" x14ac:dyDescent="0.25">
      <c r="A61" s="11"/>
      <c r="B61" s="12" t="s">
        <v>266</v>
      </c>
      <c r="C61" s="26" t="s">
        <v>198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M61" s="20"/>
      <c r="N61" s="18"/>
      <c r="O61" s="19"/>
      <c r="P61" s="18"/>
      <c r="Q61" s="18"/>
      <c r="R61" s="18"/>
      <c r="S61" s="18"/>
      <c r="T61" s="18"/>
      <c r="U61" s="18"/>
    </row>
    <row r="62" spans="1:21" ht="15.75" thickBot="1" x14ac:dyDescent="0.25">
      <c r="A62" s="11"/>
      <c r="B62" s="12" t="s">
        <v>266</v>
      </c>
      <c r="C62" s="26" t="s">
        <v>199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M62" s="20"/>
      <c r="N62" s="18"/>
      <c r="O62" s="19"/>
      <c r="P62" s="18"/>
      <c r="Q62" s="18"/>
      <c r="R62" s="18"/>
      <c r="S62" s="18"/>
      <c r="T62" s="18"/>
      <c r="U62" s="18"/>
    </row>
    <row r="63" spans="1:21" ht="15.75" thickBot="1" x14ac:dyDescent="0.25">
      <c r="A63" s="11"/>
      <c r="B63" s="12" t="s">
        <v>266</v>
      </c>
      <c r="C63" s="26" t="s">
        <v>200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M63" s="20"/>
      <c r="N63" s="18"/>
      <c r="O63" s="19"/>
      <c r="P63" s="18"/>
      <c r="Q63" s="18"/>
      <c r="R63" s="18"/>
      <c r="S63" s="18"/>
      <c r="T63" s="18"/>
      <c r="U63" s="18"/>
    </row>
    <row r="64" spans="1:21" ht="15.75" thickBot="1" x14ac:dyDescent="0.25">
      <c r="A64" s="11"/>
      <c r="B64" s="12">
        <v>10</v>
      </c>
      <c r="C64" s="26" t="s">
        <v>201</v>
      </c>
      <c r="D64" s="12">
        <v>1</v>
      </c>
      <c r="E64" s="12">
        <v>1</v>
      </c>
      <c r="F64" s="12">
        <v>0</v>
      </c>
      <c r="G64" s="12">
        <v>2</v>
      </c>
      <c r="H64" s="12">
        <v>0.11</v>
      </c>
      <c r="I64" s="12">
        <v>0.14000000000000001</v>
      </c>
      <c r="M64" s="20"/>
      <c r="N64" s="18"/>
      <c r="O64" s="19"/>
      <c r="P64" s="18"/>
      <c r="Q64" s="18"/>
      <c r="R64" s="18"/>
      <c r="S64" s="18"/>
      <c r="T64" s="18"/>
      <c r="U64" s="18"/>
    </row>
    <row r="65" spans="1:21" ht="15.75" thickBot="1" x14ac:dyDescent="0.25">
      <c r="A65" s="11"/>
      <c r="B65" s="12">
        <v>14</v>
      </c>
      <c r="C65" s="26" t="s">
        <v>202</v>
      </c>
      <c r="D65" s="12">
        <v>0</v>
      </c>
      <c r="E65" s="12">
        <v>1</v>
      </c>
      <c r="F65" s="12">
        <v>1</v>
      </c>
      <c r="G65" s="12">
        <v>2</v>
      </c>
      <c r="H65" s="12">
        <v>0.38</v>
      </c>
      <c r="I65" s="12">
        <v>0.7</v>
      </c>
      <c r="M65" s="20"/>
      <c r="N65" s="18"/>
      <c r="O65" s="19"/>
      <c r="P65" s="18"/>
      <c r="Q65" s="18"/>
      <c r="R65" s="18"/>
      <c r="S65" s="18"/>
      <c r="T65" s="18"/>
      <c r="U65" s="18"/>
    </row>
    <row r="66" spans="1:21" ht="15.75" thickBot="1" x14ac:dyDescent="0.25">
      <c r="A66" s="11"/>
      <c r="B66" s="12" t="s">
        <v>266</v>
      </c>
      <c r="C66" s="26" t="s">
        <v>203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M66" s="20"/>
      <c r="N66" s="18"/>
      <c r="O66" s="19"/>
      <c r="P66" s="18"/>
      <c r="Q66" s="18"/>
      <c r="R66" s="18"/>
      <c r="S66" s="18"/>
      <c r="T66" s="18"/>
      <c r="U66" s="18"/>
    </row>
    <row r="67" spans="1:21" ht="15.75" thickBot="1" x14ac:dyDescent="0.25">
      <c r="A67" s="11"/>
      <c r="B67" s="12" t="s">
        <v>266</v>
      </c>
      <c r="C67" s="26" t="s">
        <v>204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M67" s="20"/>
      <c r="N67" s="18"/>
      <c r="O67" s="19"/>
      <c r="P67" s="18"/>
      <c r="Q67" s="18"/>
      <c r="R67" s="18"/>
      <c r="S67" s="18"/>
      <c r="T67" s="18"/>
      <c r="U67" s="18"/>
    </row>
    <row r="68" spans="1:21" ht="15.75" thickBot="1" x14ac:dyDescent="0.25">
      <c r="A68" s="11"/>
      <c r="B68" s="12">
        <v>1</v>
      </c>
      <c r="C68" s="26" t="s">
        <v>140</v>
      </c>
      <c r="D68" s="17">
        <v>7</v>
      </c>
      <c r="E68" s="12">
        <v>2</v>
      </c>
      <c r="F68" s="12">
        <v>4</v>
      </c>
      <c r="G68" s="16">
        <v>13</v>
      </c>
      <c r="H68" s="12">
        <v>2.33</v>
      </c>
      <c r="I68" s="12">
        <v>2.2400000000000002</v>
      </c>
      <c r="M68" s="20"/>
      <c r="N68" s="18"/>
      <c r="O68" s="19"/>
      <c r="P68" s="18"/>
      <c r="Q68" s="18"/>
      <c r="R68" s="18"/>
      <c r="S68" s="18"/>
      <c r="T68" s="18"/>
      <c r="U68" s="18"/>
    </row>
    <row r="69" spans="1:21" ht="15.75" thickBot="1" x14ac:dyDescent="0.25">
      <c r="A69" s="11"/>
      <c r="B69" s="12" t="s">
        <v>266</v>
      </c>
      <c r="C69" s="26" t="s">
        <v>205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M69" s="20"/>
      <c r="N69" s="18"/>
      <c r="O69" s="19"/>
      <c r="P69" s="18"/>
      <c r="Q69" s="18"/>
      <c r="R69" s="18"/>
      <c r="S69" s="18"/>
      <c r="T69" s="18"/>
      <c r="U69" s="18"/>
    </row>
    <row r="70" spans="1:21" ht="15.75" thickBot="1" x14ac:dyDescent="0.25">
      <c r="A70" s="11"/>
      <c r="B70" s="12" t="s">
        <v>266</v>
      </c>
      <c r="C70" s="26" t="s">
        <v>206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M70" s="20"/>
      <c r="N70" s="18"/>
      <c r="O70" s="19"/>
      <c r="P70" s="18"/>
      <c r="Q70" s="18"/>
      <c r="R70" s="18"/>
      <c r="S70" s="18"/>
      <c r="T70" s="18"/>
      <c r="U70" s="18"/>
    </row>
    <row r="71" spans="1:21" ht="15.75" thickBot="1" x14ac:dyDescent="0.25">
      <c r="A71" s="11"/>
      <c r="B71" s="12">
        <v>17</v>
      </c>
      <c r="C71" s="26" t="s">
        <v>207</v>
      </c>
      <c r="D71" s="12">
        <v>0</v>
      </c>
      <c r="E71" s="12">
        <v>1</v>
      </c>
      <c r="F71" s="12">
        <v>0</v>
      </c>
      <c r="G71" s="12">
        <v>1</v>
      </c>
      <c r="H71" s="12">
        <v>0.03</v>
      </c>
      <c r="I71" s="12">
        <v>0.05</v>
      </c>
      <c r="M71" s="20"/>
      <c r="N71" s="18"/>
      <c r="O71" s="19"/>
      <c r="P71" s="18"/>
      <c r="Q71" s="18"/>
      <c r="R71" s="18"/>
      <c r="S71" s="18"/>
      <c r="T71" s="18"/>
      <c r="U71" s="18"/>
    </row>
    <row r="72" spans="1:21" ht="15.75" thickBot="1" x14ac:dyDescent="0.25">
      <c r="A72" s="11"/>
      <c r="B72" s="12" t="s">
        <v>266</v>
      </c>
      <c r="C72" s="26" t="s">
        <v>208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M72" s="20"/>
      <c r="N72" s="18"/>
      <c r="O72" s="19"/>
      <c r="P72" s="18"/>
      <c r="Q72" s="18"/>
      <c r="R72" s="18"/>
      <c r="S72" s="18"/>
      <c r="T72" s="18"/>
      <c r="U72" s="18"/>
    </row>
    <row r="73" spans="1:21" ht="15.75" thickBot="1" x14ac:dyDescent="0.25">
      <c r="A73" s="11"/>
      <c r="B73" s="12" t="s">
        <v>266</v>
      </c>
      <c r="C73" s="26" t="s">
        <v>209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M73" s="20"/>
      <c r="N73" s="18"/>
      <c r="O73" s="19"/>
      <c r="P73" s="18"/>
      <c r="Q73" s="18"/>
      <c r="R73" s="18"/>
      <c r="S73" s="18"/>
      <c r="T73" s="18"/>
      <c r="U73" s="18"/>
    </row>
    <row r="74" spans="1:21" ht="15.75" thickBot="1" x14ac:dyDescent="0.25">
      <c r="A74" s="11"/>
      <c r="B74" s="12" t="s">
        <v>266</v>
      </c>
      <c r="C74" s="26" t="s">
        <v>210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M74" s="20"/>
      <c r="N74" s="18"/>
      <c r="O74" s="19"/>
      <c r="P74" s="18"/>
      <c r="Q74" s="18"/>
      <c r="R74" s="18"/>
      <c r="S74" s="18"/>
      <c r="T74" s="18"/>
      <c r="U74" s="18"/>
    </row>
    <row r="75" spans="1:21" ht="15.75" thickBot="1" x14ac:dyDescent="0.25">
      <c r="A75" s="11"/>
      <c r="B75" s="12" t="s">
        <v>266</v>
      </c>
      <c r="C75" s="26" t="s">
        <v>211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M75" s="20"/>
      <c r="N75" s="18"/>
      <c r="O75" s="19"/>
      <c r="P75" s="18"/>
      <c r="Q75" s="18"/>
      <c r="R75" s="18"/>
      <c r="S75" s="18"/>
      <c r="T75" s="18"/>
      <c r="U75" s="18"/>
    </row>
    <row r="76" spans="1:21" ht="15.75" thickBot="1" x14ac:dyDescent="0.25">
      <c r="A76" s="11"/>
      <c r="B76" s="12" t="s">
        <v>266</v>
      </c>
      <c r="C76" s="26" t="s">
        <v>212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M76" s="20"/>
      <c r="N76" s="18"/>
      <c r="O76" s="19"/>
      <c r="P76" s="18"/>
      <c r="Q76" s="18"/>
      <c r="R76" s="18"/>
      <c r="S76" s="18"/>
      <c r="T76" s="18"/>
      <c r="U76" s="18"/>
    </row>
    <row r="77" spans="1:21" ht="15.75" thickBot="1" x14ac:dyDescent="0.25">
      <c r="A77" s="11"/>
      <c r="B77" s="12" t="s">
        <v>266</v>
      </c>
      <c r="C77" s="26" t="s">
        <v>213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M77" s="20"/>
      <c r="N77" s="18"/>
      <c r="O77" s="19"/>
      <c r="P77" s="18"/>
      <c r="Q77" s="18"/>
      <c r="R77" s="18"/>
      <c r="S77" s="18"/>
      <c r="T77" s="18"/>
      <c r="U77" s="18"/>
    </row>
    <row r="78" spans="1:21" ht="15.75" thickBot="1" x14ac:dyDescent="0.25">
      <c r="A78" s="11"/>
      <c r="B78" s="12" t="s">
        <v>266</v>
      </c>
      <c r="C78" s="26" t="s">
        <v>214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M78" s="20"/>
      <c r="N78" s="18"/>
      <c r="O78" s="19"/>
      <c r="P78" s="18"/>
      <c r="Q78" s="18"/>
      <c r="R78" s="18"/>
      <c r="S78" s="18"/>
      <c r="T78" s="18"/>
      <c r="U78" s="18"/>
    </row>
    <row r="79" spans="1:21" ht="15.75" thickBot="1" x14ac:dyDescent="0.25">
      <c r="A79" s="11"/>
      <c r="B79" s="12" t="s">
        <v>266</v>
      </c>
      <c r="C79" s="26" t="s">
        <v>215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M79" s="20"/>
      <c r="N79" s="18"/>
      <c r="O79" s="19"/>
      <c r="P79" s="18"/>
      <c r="Q79" s="18"/>
      <c r="R79" s="18"/>
      <c r="S79" s="18"/>
      <c r="T79" s="18"/>
      <c r="U79" s="18"/>
    </row>
    <row r="80" spans="1:21" ht="15.75" thickBot="1" x14ac:dyDescent="0.25">
      <c r="A80" s="11"/>
      <c r="B80" s="12">
        <v>10</v>
      </c>
      <c r="C80" s="26" t="s">
        <v>216</v>
      </c>
      <c r="D80" s="12">
        <v>1</v>
      </c>
      <c r="E80" s="12">
        <v>1</v>
      </c>
      <c r="F80" s="12">
        <v>0</v>
      </c>
      <c r="G80" s="12">
        <v>2</v>
      </c>
      <c r="H80" s="12">
        <v>0.94</v>
      </c>
      <c r="I80" s="12">
        <v>1.68</v>
      </c>
      <c r="M80" s="20"/>
      <c r="N80" s="18"/>
      <c r="O80" s="19"/>
      <c r="P80" s="18"/>
      <c r="Q80" s="18"/>
      <c r="R80" s="18"/>
      <c r="S80" s="18"/>
      <c r="T80" s="18"/>
      <c r="U80" s="18"/>
    </row>
    <row r="81" spans="1:21" ht="15.75" thickBot="1" x14ac:dyDescent="0.25">
      <c r="A81" s="11"/>
      <c r="B81" s="12" t="s">
        <v>266</v>
      </c>
      <c r="C81" s="26" t="s">
        <v>217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M81" s="20"/>
      <c r="N81" s="18"/>
      <c r="O81" s="19"/>
      <c r="P81" s="18"/>
      <c r="Q81" s="18"/>
      <c r="R81" s="18"/>
      <c r="S81" s="18"/>
      <c r="T81" s="18"/>
      <c r="U81" s="18"/>
    </row>
    <row r="82" spans="1:21" ht="15.75" thickBot="1" x14ac:dyDescent="0.25">
      <c r="A82" s="11"/>
      <c r="B82" s="12">
        <v>14</v>
      </c>
      <c r="C82" s="26" t="s">
        <v>218</v>
      </c>
      <c r="D82" s="12">
        <v>0</v>
      </c>
      <c r="E82" s="12">
        <v>1</v>
      </c>
      <c r="F82" s="12">
        <v>1</v>
      </c>
      <c r="G82" s="12">
        <v>2</v>
      </c>
      <c r="H82" s="12">
        <v>0.04</v>
      </c>
      <c r="I82" s="12">
        <v>0.06</v>
      </c>
      <c r="M82" s="20"/>
      <c r="N82" s="18"/>
      <c r="O82" s="19"/>
      <c r="P82" s="18"/>
      <c r="Q82" s="18"/>
      <c r="R82" s="18"/>
      <c r="S82" s="18"/>
      <c r="T82" s="18"/>
      <c r="U82" s="18"/>
    </row>
    <row r="83" spans="1:21" ht="15.75" thickBot="1" x14ac:dyDescent="0.25">
      <c r="A83" s="11"/>
      <c r="B83" s="12" t="s">
        <v>266</v>
      </c>
      <c r="C83" s="26" t="s">
        <v>219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M83" s="20"/>
      <c r="N83" s="18"/>
      <c r="O83" s="19"/>
      <c r="P83" s="18"/>
      <c r="Q83" s="18"/>
      <c r="R83" s="18"/>
      <c r="S83" s="18"/>
      <c r="T83" s="18"/>
      <c r="U83" s="18"/>
    </row>
    <row r="84" spans="1:21" ht="15.75" thickBot="1" x14ac:dyDescent="0.25">
      <c r="A84" s="11"/>
      <c r="B84" s="12">
        <v>3</v>
      </c>
      <c r="C84" s="26" t="s">
        <v>137</v>
      </c>
      <c r="D84" s="12">
        <v>3</v>
      </c>
      <c r="E84" s="12">
        <v>2</v>
      </c>
      <c r="F84" s="12">
        <v>1</v>
      </c>
      <c r="G84" s="12">
        <v>6</v>
      </c>
      <c r="H84" s="12">
        <v>0.56999999999999995</v>
      </c>
      <c r="I84" s="12">
        <v>0.79</v>
      </c>
      <c r="M84" s="20"/>
      <c r="N84" s="18"/>
      <c r="O84" s="19"/>
      <c r="P84" s="18"/>
      <c r="Q84" s="18"/>
      <c r="R84" s="18"/>
      <c r="S84" s="18"/>
      <c r="T84" s="18"/>
      <c r="U84" s="18"/>
    </row>
    <row r="85" spans="1:21" ht="15.75" thickBot="1" x14ac:dyDescent="0.25">
      <c r="A85" s="11"/>
      <c r="B85" s="12">
        <v>2</v>
      </c>
      <c r="C85" s="26" t="s">
        <v>138</v>
      </c>
      <c r="D85" s="12">
        <v>4</v>
      </c>
      <c r="E85" s="12">
        <v>1</v>
      </c>
      <c r="F85" s="12">
        <v>2</v>
      </c>
      <c r="G85" s="12">
        <v>7</v>
      </c>
      <c r="H85" s="12">
        <v>0.78</v>
      </c>
      <c r="I85" s="12">
        <v>0.82</v>
      </c>
      <c r="M85" s="20"/>
      <c r="N85" s="18"/>
      <c r="O85" s="19"/>
      <c r="P85" s="18"/>
      <c r="Q85" s="18"/>
      <c r="R85" s="18"/>
      <c r="S85" s="18"/>
      <c r="T85" s="18"/>
      <c r="U85" s="18"/>
    </row>
    <row r="86" spans="1:21" ht="15.75" thickBot="1" x14ac:dyDescent="0.25">
      <c r="A86" s="11"/>
      <c r="B86" s="12" t="s">
        <v>266</v>
      </c>
      <c r="C86" s="26" t="s">
        <v>220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M86" s="20"/>
      <c r="N86" s="18"/>
      <c r="O86" s="19"/>
      <c r="P86" s="18"/>
      <c r="Q86" s="18"/>
      <c r="R86" s="18"/>
      <c r="S86" s="18"/>
      <c r="T86" s="18"/>
      <c r="U86" s="18"/>
    </row>
    <row r="87" spans="1:21" ht="15.75" thickBot="1" x14ac:dyDescent="0.25">
      <c r="A87" s="11"/>
      <c r="B87" s="12" t="s">
        <v>266</v>
      </c>
      <c r="C87" s="26" t="s">
        <v>221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M87" s="20"/>
      <c r="N87" s="18"/>
      <c r="O87" s="19"/>
      <c r="P87" s="18"/>
      <c r="Q87" s="18"/>
      <c r="R87" s="18"/>
      <c r="S87" s="18"/>
      <c r="T87" s="18"/>
      <c r="U87" s="18"/>
    </row>
    <row r="88" spans="1:21" ht="15.75" thickBot="1" x14ac:dyDescent="0.25">
      <c r="A88" s="11"/>
      <c r="B88" s="12" t="s">
        <v>266</v>
      </c>
      <c r="C88" s="26" t="s">
        <v>222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M88" s="20"/>
      <c r="N88" s="18"/>
      <c r="O88" s="19"/>
      <c r="P88" s="18"/>
      <c r="Q88" s="18"/>
      <c r="R88" s="18"/>
      <c r="S88" s="18"/>
      <c r="T88" s="18"/>
      <c r="U88" s="18"/>
    </row>
    <row r="89" spans="1:21" ht="15.75" thickBot="1" x14ac:dyDescent="0.25">
      <c r="A89" s="11"/>
      <c r="B89" s="12" t="s">
        <v>266</v>
      </c>
      <c r="C89" s="26" t="s">
        <v>223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M89" s="20"/>
      <c r="N89" s="18"/>
      <c r="O89" s="19"/>
      <c r="P89" s="18"/>
      <c r="Q89" s="18"/>
      <c r="R89" s="18"/>
      <c r="S89" s="18"/>
      <c r="T89" s="18"/>
      <c r="U89" s="18"/>
    </row>
    <row r="90" spans="1:21" ht="15.75" thickBot="1" x14ac:dyDescent="0.25">
      <c r="A90" s="11"/>
      <c r="B90" s="12" t="s">
        <v>266</v>
      </c>
      <c r="C90" s="26" t="s">
        <v>224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M90" s="20"/>
      <c r="N90" s="18"/>
      <c r="O90" s="19"/>
      <c r="P90" s="18"/>
      <c r="Q90" s="18"/>
      <c r="R90" s="18"/>
      <c r="S90" s="18"/>
      <c r="T90" s="18"/>
      <c r="U90" s="18"/>
    </row>
    <row r="91" spans="1:21" ht="15.75" thickBot="1" x14ac:dyDescent="0.25">
      <c r="A91" s="11"/>
      <c r="B91" s="12">
        <v>5</v>
      </c>
      <c r="C91" s="26" t="s">
        <v>225</v>
      </c>
      <c r="D91" s="12">
        <v>2</v>
      </c>
      <c r="E91" s="14">
        <v>4</v>
      </c>
      <c r="F91" s="12">
        <v>2</v>
      </c>
      <c r="G91" s="12">
        <v>8</v>
      </c>
      <c r="H91" s="12">
        <v>0.02</v>
      </c>
      <c r="I91" s="12">
        <v>0.03</v>
      </c>
      <c r="M91" s="20"/>
      <c r="N91" s="18"/>
      <c r="O91" s="19"/>
      <c r="P91" s="18"/>
      <c r="Q91" s="18"/>
      <c r="R91" s="18"/>
      <c r="S91" s="18"/>
      <c r="T91" s="18"/>
      <c r="U91" s="18"/>
    </row>
    <row r="92" spans="1:21" ht="15.75" thickBot="1" x14ac:dyDescent="0.25">
      <c r="A92" s="11"/>
      <c r="B92" s="12" t="s">
        <v>266</v>
      </c>
      <c r="C92" s="26" t="s">
        <v>226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M92" s="20"/>
      <c r="N92" s="18"/>
      <c r="O92" s="19"/>
      <c r="P92" s="18"/>
      <c r="Q92" s="18"/>
      <c r="R92" s="18"/>
      <c r="S92" s="18"/>
      <c r="T92" s="18"/>
      <c r="U92" s="18"/>
    </row>
    <row r="93" spans="1:21" ht="15.75" thickBot="1" x14ac:dyDescent="0.25">
      <c r="A93" s="11"/>
      <c r="B93" s="12" t="s">
        <v>266</v>
      </c>
      <c r="C93" s="26" t="s">
        <v>227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M93" s="20"/>
      <c r="N93" s="18"/>
      <c r="O93" s="19"/>
      <c r="P93" s="18"/>
      <c r="Q93" s="18"/>
      <c r="R93" s="18"/>
      <c r="S93" s="18"/>
      <c r="T93" s="18"/>
      <c r="U93" s="18"/>
    </row>
    <row r="94" spans="1:21" ht="15.75" thickBot="1" x14ac:dyDescent="0.25">
      <c r="A94" s="11"/>
      <c r="B94" s="12" t="s">
        <v>266</v>
      </c>
      <c r="C94" s="26" t="s">
        <v>228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M94" s="20"/>
      <c r="N94" s="18"/>
      <c r="O94" s="19"/>
      <c r="P94" s="18"/>
      <c r="Q94" s="18"/>
      <c r="R94" s="18"/>
      <c r="S94" s="18"/>
      <c r="T94" s="18"/>
      <c r="U94" s="18"/>
    </row>
    <row r="95" spans="1:21" ht="15.75" thickBot="1" x14ac:dyDescent="0.25">
      <c r="A95" s="13"/>
      <c r="B95" s="12"/>
      <c r="C95" s="24"/>
      <c r="D95" s="12"/>
      <c r="E95" s="12"/>
      <c r="F95" s="12"/>
      <c r="G95" s="12"/>
      <c r="H95" s="12"/>
      <c r="I95" s="12"/>
      <c r="M95" s="20"/>
      <c r="N95" s="18"/>
      <c r="O95" s="19"/>
      <c r="P95" s="18"/>
      <c r="Q95" s="18"/>
      <c r="R95" s="18"/>
      <c r="S95" s="18"/>
      <c r="T95" s="18"/>
      <c r="U95" s="18"/>
    </row>
    <row r="96" spans="1:21" ht="15.75" thickBot="1" x14ac:dyDescent="0.25">
      <c r="A96" s="13"/>
      <c r="B96" s="12"/>
      <c r="C96" s="24"/>
      <c r="D96" s="12"/>
      <c r="E96" s="12"/>
      <c r="F96" s="12"/>
      <c r="G96" s="12"/>
      <c r="H96" s="12"/>
      <c r="I96" s="12"/>
      <c r="M96" s="20"/>
      <c r="N96" s="18"/>
      <c r="O96" s="19"/>
      <c r="P96" s="18"/>
      <c r="Q96" s="18"/>
      <c r="R96" s="18"/>
      <c r="S96" s="18"/>
      <c r="T96" s="18"/>
      <c r="U96" s="18"/>
    </row>
    <row r="97" spans="1:21" ht="15.75" thickBot="1" x14ac:dyDescent="0.25">
      <c r="A97" s="13"/>
      <c r="B97" s="12"/>
      <c r="C97" s="24"/>
      <c r="D97" s="12"/>
      <c r="E97" s="12"/>
      <c r="F97" s="12"/>
      <c r="G97" s="12"/>
      <c r="H97" s="12"/>
      <c r="I97" s="12"/>
      <c r="M97" s="20"/>
      <c r="N97" s="18"/>
      <c r="O97" s="19"/>
      <c r="P97" s="18"/>
      <c r="Q97" s="18"/>
      <c r="R97" s="18"/>
      <c r="S97" s="18"/>
      <c r="T97" s="18"/>
      <c r="U97" s="18"/>
    </row>
    <row r="98" spans="1:21" ht="15.75" thickBot="1" x14ac:dyDescent="0.25">
      <c r="A98" s="21"/>
      <c r="B98" s="22"/>
      <c r="C98" s="23" t="s">
        <v>238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M98" s="20"/>
      <c r="N98" s="18"/>
      <c r="O98" s="19"/>
      <c r="P98" s="18"/>
      <c r="Q98" s="18"/>
      <c r="R98" s="18"/>
      <c r="S98" s="18"/>
      <c r="T98" s="18"/>
      <c r="U98" s="1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56AC-4111-4607-AF9B-E6366D3F3F5E}">
  <dimension ref="A1:B24"/>
  <sheetViews>
    <sheetView workbookViewId="0">
      <selection activeCell="E30" sqref="E30"/>
    </sheetView>
  </sheetViews>
  <sheetFormatPr defaultRowHeight="14.25" x14ac:dyDescent="0.2"/>
  <sheetData>
    <row r="1" spans="1:2" x14ac:dyDescent="0.2">
      <c r="A1" t="s">
        <v>104</v>
      </c>
    </row>
    <row r="2" spans="1:2" x14ac:dyDescent="0.2">
      <c r="A2" t="s">
        <v>105</v>
      </c>
      <c r="B2" t="s">
        <v>107</v>
      </c>
    </row>
    <row r="3" spans="1:2" x14ac:dyDescent="0.2">
      <c r="A3" t="s">
        <v>106</v>
      </c>
      <c r="B3" t="s">
        <v>107</v>
      </c>
    </row>
    <row r="4" spans="1:2" x14ac:dyDescent="0.2">
      <c r="A4" t="s">
        <v>108</v>
      </c>
      <c r="B4" t="s">
        <v>107</v>
      </c>
    </row>
    <row r="5" spans="1:2" x14ac:dyDescent="0.2">
      <c r="A5" t="s">
        <v>110</v>
      </c>
      <c r="B5" t="s">
        <v>107</v>
      </c>
    </row>
    <row r="6" spans="1:2" x14ac:dyDescent="0.2">
      <c r="A6" t="s">
        <v>113</v>
      </c>
      <c r="B6" t="s">
        <v>107</v>
      </c>
    </row>
    <row r="7" spans="1:2" x14ac:dyDescent="0.2">
      <c r="A7" t="s">
        <v>116</v>
      </c>
      <c r="B7" t="s">
        <v>107</v>
      </c>
    </row>
    <row r="8" spans="1:2" x14ac:dyDescent="0.2">
      <c r="A8" t="s">
        <v>115</v>
      </c>
    </row>
    <row r="9" spans="1:2" x14ac:dyDescent="0.2">
      <c r="A9" t="s">
        <v>118</v>
      </c>
      <c r="B9" t="s">
        <v>107</v>
      </c>
    </row>
    <row r="10" spans="1:2" x14ac:dyDescent="0.2">
      <c r="A10" t="s">
        <v>119</v>
      </c>
      <c r="B10" t="s">
        <v>107</v>
      </c>
    </row>
    <row r="11" spans="1:2" x14ac:dyDescent="0.2">
      <c r="A11" t="s">
        <v>121</v>
      </c>
      <c r="B11" t="s">
        <v>107</v>
      </c>
    </row>
    <row r="12" spans="1:2" x14ac:dyDescent="0.2">
      <c r="A12" t="s">
        <v>122</v>
      </c>
      <c r="B12" t="s">
        <v>107</v>
      </c>
    </row>
    <row r="13" spans="1:2" x14ac:dyDescent="0.2">
      <c r="A13" t="s">
        <v>123</v>
      </c>
      <c r="B13" t="s">
        <v>107</v>
      </c>
    </row>
    <row r="14" spans="1:2" x14ac:dyDescent="0.2">
      <c r="A14" t="s">
        <v>114</v>
      </c>
    </row>
    <row r="15" spans="1:2" x14ac:dyDescent="0.2">
      <c r="A15" t="s">
        <v>125</v>
      </c>
      <c r="B15" t="s">
        <v>107</v>
      </c>
    </row>
    <row r="16" spans="1:2" x14ac:dyDescent="0.2">
      <c r="A16" t="s">
        <v>126</v>
      </c>
      <c r="B16" t="s">
        <v>107</v>
      </c>
    </row>
    <row r="17" spans="1:2" x14ac:dyDescent="0.2">
      <c r="A17" t="s">
        <v>128</v>
      </c>
      <c r="B17" t="s">
        <v>107</v>
      </c>
    </row>
    <row r="18" spans="1:2" x14ac:dyDescent="0.2">
      <c r="A18" t="s">
        <v>129</v>
      </c>
      <c r="B18" t="s">
        <v>107</v>
      </c>
    </row>
    <row r="19" spans="1:2" x14ac:dyDescent="0.2">
      <c r="A19" t="s">
        <v>129</v>
      </c>
      <c r="B19" t="s">
        <v>107</v>
      </c>
    </row>
    <row r="20" spans="1:2" x14ac:dyDescent="0.2">
      <c r="A20" t="s">
        <v>132</v>
      </c>
      <c r="B20" t="s">
        <v>107</v>
      </c>
    </row>
    <row r="21" spans="1:2" x14ac:dyDescent="0.2">
      <c r="A21" t="s">
        <v>132</v>
      </c>
      <c r="B21" t="s">
        <v>107</v>
      </c>
    </row>
    <row r="22" spans="1:2" x14ac:dyDescent="0.2">
      <c r="A22" t="s">
        <v>133</v>
      </c>
      <c r="B22" t="s">
        <v>107</v>
      </c>
    </row>
    <row r="23" spans="1:2" x14ac:dyDescent="0.2">
      <c r="A23" t="s">
        <v>134</v>
      </c>
      <c r="B23" t="s">
        <v>107</v>
      </c>
    </row>
    <row r="24" spans="1:2" x14ac:dyDescent="0.2">
      <c r="A24" t="s">
        <v>135</v>
      </c>
      <c r="B24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F8DBDB-15BC-4905-95F4-B21EB5F52A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Display Points</vt:lpstr>
      <vt:lpstr>Events</vt:lpstr>
      <vt:lpstr>Medal Count</vt:lpstr>
      <vt:lpstr>participants</vt:lpstr>
    </vt:vector>
  </TitlesOfParts>
  <Company>Spartan Controls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Slack</dc:creator>
  <cp:lastModifiedBy>Josh Slack</cp:lastModifiedBy>
  <dcterms:created xsi:type="dcterms:W3CDTF">2026-01-16T15:32:43Z</dcterms:created>
  <dcterms:modified xsi:type="dcterms:W3CDTF">2026-02-11T14:11:05Z</dcterms:modified>
</cp:coreProperties>
</file>