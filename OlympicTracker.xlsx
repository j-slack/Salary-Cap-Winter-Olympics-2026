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DF9B5289-1AA6-4308-83DB-AD8BDC7E4996}" xr6:coauthVersionLast="47" xr6:coauthVersionMax="47" xr10:uidLastSave="{00000000-0000-0000-0000-000000000000}"/>
  <bookViews>
    <workbookView xWindow="2868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4" i="12" s="1"/>
  <c r="N95" i="3"/>
  <c r="B2" i="12" s="1"/>
  <c r="V95" i="3"/>
  <c r="B9" i="12" s="1"/>
  <c r="AE95" i="3"/>
  <c r="B20" i="12" s="1"/>
  <c r="S95" i="3"/>
  <c r="B13" i="12" s="1"/>
  <c r="AB95" i="3"/>
  <c r="B17" i="12" s="1"/>
  <c r="AA95" i="3"/>
  <c r="B22" i="12" s="1"/>
  <c r="AC95" i="3"/>
  <c r="B23" i="12" s="1"/>
  <c r="AH95" i="3"/>
  <c r="B7" i="12" s="1"/>
  <c r="Q95" i="3"/>
  <c r="B11" i="12" s="1"/>
  <c r="AD95" i="3"/>
  <c r="B8" i="12" s="1"/>
  <c r="Y95" i="3"/>
  <c r="B3" i="12" s="1"/>
  <c r="O95" i="3"/>
  <c r="B10" i="12" s="1"/>
  <c r="U95" i="3"/>
  <c r="B6" i="12" s="1"/>
  <c r="X95" i="3"/>
  <c r="B15" i="12" s="1"/>
  <c r="AG95" i="3"/>
  <c r="B21" i="12" s="1"/>
  <c r="P95" i="3"/>
  <c r="B16" i="12" s="1"/>
  <c r="W95" i="3"/>
  <c r="B4" i="12" s="1"/>
  <c r="M95" i="3"/>
  <c r="B18" i="12" s="1"/>
  <c r="AI95" i="3"/>
  <c r="B5" i="12" s="1"/>
  <c r="Z95" i="3"/>
  <c r="B24" i="12" s="1"/>
  <c r="R95" i="3"/>
  <c r="B12" i="12" s="1"/>
  <c r="T95" i="3"/>
  <c r="B19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<sst xmlns="http://schemas.openxmlformats.org/spreadsheetml/2006/main" count="455" uniqueCount="268">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</sst>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E21" sqref="E21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256</v>
      </c>
      <c r="B2">
        <f>Events!N95</f>
        <v>155</v>
      </c>
    </row>
    <row r="3" spans="1:2" x14ac:dyDescent="0.2">
      <c r="A3" t="s">
        <v>266</v>
      </c>
      <c r="B3">
        <f>Events!Y95</f>
        <v>148</v>
      </c>
    </row>
    <row r="4" spans="1:2" x14ac:dyDescent="0.2">
      <c r="A4" t="s">
        <v>245</v>
      </c>
      <c r="B4">
        <f>Events!W95</f>
        <v>147</v>
      </c>
    </row>
    <row r="5" spans="1:2" x14ac:dyDescent="0.2">
      <c r="A5" t="s">
        <v>259</v>
      </c>
      <c r="B5">
        <f>Events!AI95</f>
        <v>144</v>
      </c>
    </row>
    <row r="6" spans="1:2" x14ac:dyDescent="0.2">
      <c r="A6" t="s">
        <v>267</v>
      </c>
      <c r="B6">
        <f>Events!U95</f>
        <v>132</v>
      </c>
    </row>
    <row r="7" spans="1:2" x14ac:dyDescent="0.2">
      <c r="A7" t="s">
        <v>257</v>
      </c>
      <c r="B7">
        <f>Events!AH95</f>
        <v>132</v>
      </c>
    </row>
    <row r="8" spans="1:2" x14ac:dyDescent="0.2">
      <c r="A8" t="s">
        <v>248</v>
      </c>
      <c r="B8">
        <f>Events!AD95</f>
        <v>118</v>
      </c>
    </row>
    <row r="9" spans="1:2" x14ac:dyDescent="0.2">
      <c r="A9" t="s">
        <v>252</v>
      </c>
      <c r="B9">
        <f>Events!V95</f>
        <v>117</v>
      </c>
    </row>
    <row r="10" spans="1:2" x14ac:dyDescent="0.2">
      <c r="A10" t="s">
        <v>260</v>
      </c>
      <c r="B10">
        <f>Events!O95</f>
        <v>114</v>
      </c>
    </row>
    <row r="11" spans="1:2" x14ac:dyDescent="0.2">
      <c r="A11" t="s">
        <v>251</v>
      </c>
      <c r="B11">
        <f>Events!Q95</f>
        <v>112</v>
      </c>
    </row>
    <row r="12" spans="1:2" x14ac:dyDescent="0.2">
      <c r="A12" t="s">
        <v>262</v>
      </c>
      <c r="B12">
        <f>Events!R95</f>
        <v>112</v>
      </c>
    </row>
    <row r="13" spans="1:2" x14ac:dyDescent="0.2">
      <c r="A13" t="s">
        <v>261</v>
      </c>
      <c r="B13">
        <f>Events!S95</f>
        <v>109</v>
      </c>
    </row>
    <row r="14" spans="1:2" x14ac:dyDescent="0.2">
      <c r="A14" t="s">
        <v>263</v>
      </c>
      <c r="B14">
        <f>Events!AF95</f>
        <v>109</v>
      </c>
    </row>
    <row r="15" spans="1:2" x14ac:dyDescent="0.2">
      <c r="A15" t="s">
        <v>264</v>
      </c>
      <c r="B15">
        <f>Events!X95</f>
        <v>106</v>
      </c>
    </row>
    <row r="16" spans="1:2" x14ac:dyDescent="0.2">
      <c r="A16" t="s">
        <v>254</v>
      </c>
      <c r="B16">
        <f>Events!P95</f>
        <v>105</v>
      </c>
    </row>
    <row r="17" spans="1:2" x14ac:dyDescent="0.2">
      <c r="A17" t="s">
        <v>249</v>
      </c>
      <c r="B17">
        <f>Events!AB95</f>
        <v>101</v>
      </c>
    </row>
    <row r="18" spans="1:2" x14ac:dyDescent="0.2">
      <c r="A18" t="s">
        <v>255</v>
      </c>
      <c r="B18">
        <f>Events!M95</f>
        <v>99</v>
      </c>
    </row>
    <row r="19" spans="1:2" x14ac:dyDescent="0.2">
      <c r="A19" t="s">
        <v>253</v>
      </c>
      <c r="B19">
        <f>Events!T95</f>
        <v>97</v>
      </c>
    </row>
    <row r="20" spans="1:2" x14ac:dyDescent="0.2">
      <c r="A20" t="s">
        <v>244</v>
      </c>
      <c r="B20">
        <f>Events!AE95</f>
        <v>94</v>
      </c>
    </row>
    <row r="21" spans="1:2" x14ac:dyDescent="0.2">
      <c r="A21" t="s">
        <v>258</v>
      </c>
      <c r="B21">
        <f>Events!AG95</f>
        <v>92</v>
      </c>
    </row>
    <row r="22" spans="1:2" x14ac:dyDescent="0.2">
      <c r="A22" t="s">
        <v>246</v>
      </c>
      <c r="B22">
        <f>Events!AA95</f>
        <v>92</v>
      </c>
    </row>
    <row r="23" spans="1:2" x14ac:dyDescent="0.2">
      <c r="A23" t="s">
        <v>247</v>
      </c>
      <c r="B23">
        <f>Events!AC95</f>
        <v>92</v>
      </c>
    </row>
    <row r="24" spans="1:2" x14ac:dyDescent="0.2">
      <c r="A24" t="s">
        <v>250</v>
      </c>
      <c r="B24">
        <f>Events!Z95</f>
        <v>90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2</v>
      </c>
      <c r="K6" cm="1">
        <f t="array" ref="K6">INDEX('Medal Count'!F:F,Events!$C6)</f>
        <v>1</v>
      </c>
      <c r="L6">
        <f>SUM((I6*3)+(J6*2)+(K6*1))</f>
        <v>14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5</v>
      </c>
      <c r="L7">
        <f>SUM((I7*3)+(J7*2)+(K7*1))</f>
        <v>36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5</v>
      </c>
      <c r="J15" cm="1">
        <f t="array" ref="J15">INDEX('Medal Count'!E:E,Events!$C15)</f>
        <v>7</v>
      </c>
      <c r="K15" cm="1">
        <f t="array" ref="K15">INDEX('Medal Count'!F:F,Events!$C15)</f>
        <v>9</v>
      </c>
      <c r="L15">
        <f>SUM((I15*3)+(J15*2)+(K15*1))</f>
        <v>38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5</v>
      </c>
      <c r="J17" cm="1">
        <f t="array" ref="J17">INDEX('Medal Count'!E:E,Events!$C17)</f>
        <v>4</v>
      </c>
      <c r="K17" cm="1">
        <f t="array" ref="K17">INDEX('Medal Count'!F:F,Events!$C17)</f>
        <v>6</v>
      </c>
      <c r="L17">
        <f>SUM((I17*3)+(J17*2)+(K17*1))</f>
        <v>29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1</v>
      </c>
      <c r="L21">
        <f>SUM((I21*3)+(J21*2)+(K21*1))</f>
        <v>11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1</v>
      </c>
      <c r="K22" cm="1">
        <f t="array" ref="K22">INDEX('Medal Count'!F:F,Events!$C22)</f>
        <v>0</v>
      </c>
      <c r="L22">
        <f t="shared" ref="L22:L24" si="4">(I22*3*2)+(J22*2*2)+(K22*1*2)</f>
        <v>4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1</v>
      </c>
      <c r="K25" cm="1">
        <f t="array" ref="K25">INDEX('Medal Count'!F:F,Events!$C25)</f>
        <v>0</v>
      </c>
      <c r="L25">
        <f t="shared" ref="L25:L27" si="5">SUM((I25*3)+(J25*2)+(K25*1))</f>
        <v>2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1</v>
      </c>
      <c r="K26" cm="1">
        <f t="array" ref="K26">INDEX('Medal Count'!F:F,Events!$C26)</f>
        <v>5</v>
      </c>
      <c r="L26">
        <f t="shared" si="5"/>
        <v>7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8</v>
      </c>
      <c r="J27" cm="1">
        <f t="array" ref="J27">INDEX('Medal Count'!E:E,Events!$C27)</f>
        <v>9</v>
      </c>
      <c r="K27" cm="1">
        <f t="array" ref="K27">INDEX('Medal Count'!F:F,Events!$C27)</f>
        <v>6</v>
      </c>
      <c r="L27">
        <f t="shared" si="5"/>
        <v>48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8</v>
      </c>
      <c r="J29" cm="1">
        <f t="array" ref="J29">INDEX('Medal Count'!E:E,Events!$C29)</f>
        <v>10</v>
      </c>
      <c r="K29" cm="1">
        <f t="array" ref="K29">INDEX('Medal Count'!F:F,Events!$C29)</f>
        <v>8</v>
      </c>
      <c r="L29">
        <f t="shared" ref="L29:L30" si="6">SUM((I29*3)+(J29*2)+(K29*1))</f>
        <v>52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1</v>
      </c>
      <c r="K30" cm="1">
        <f t="array" ref="K30">INDEX('Medal Count'!F:F,Events!$C30)</f>
        <v>1</v>
      </c>
      <c r="L30">
        <f t="shared" si="6"/>
        <v>12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1</v>
      </c>
      <c r="K38" cm="1">
        <f t="array" ref="K38">INDEX('Medal Count'!F:F,Events!$C38)</f>
        <v>0</v>
      </c>
      <c r="L38">
        <f t="shared" si="8"/>
        <v>4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10</v>
      </c>
      <c r="J42" cm="1">
        <f t="array" ref="J42">INDEX('Medal Count'!E:E,Events!$C42)</f>
        <v>6</v>
      </c>
      <c r="K42" cm="1">
        <f t="array" ref="K42">INDEX('Medal Count'!F:F,Events!$C42)</f>
        <v>14</v>
      </c>
      <c r="L42">
        <f>SUM((I42*3)+(J42*2)+(K42*1))</f>
        <v>56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5</v>
      </c>
      <c r="J44" cm="1">
        <f t="array" ref="J44">INDEX('Medal Count'!E:E,Events!$C44)</f>
        <v>7</v>
      </c>
      <c r="K44" cm="1">
        <f t="array" ref="K44">INDEX('Medal Count'!F:F,Events!$C44)</f>
        <v>12</v>
      </c>
      <c r="L44">
        <f>SUM((I44*3)+(J44*2)+(K44*1))</f>
        <v>41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10</v>
      </c>
      <c r="J63" cm="1">
        <f t="array" ref="J63">INDEX('Medal Count'!E:E,Events!$C63)</f>
        <v>7</v>
      </c>
      <c r="K63" cm="1">
        <f t="array" ref="K63">INDEX('Medal Count'!F:F,Events!$C63)</f>
        <v>3</v>
      </c>
      <c r="L63">
        <f t="shared" ref="L63:L64" si="11">SUM((I63*3)+(J63*2)+(K63*1))</f>
        <v>47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2</v>
      </c>
      <c r="K64" cm="1">
        <f t="array" ref="K64">INDEX('Medal Count'!F:F,Events!$C64)</f>
        <v>1</v>
      </c>
      <c r="L64">
        <f t="shared" si="11"/>
        <v>5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18</v>
      </c>
      <c r="J67" cm="1">
        <f t="array" ref="J67">INDEX('Medal Count'!E:E,Events!$C67)</f>
        <v>12</v>
      </c>
      <c r="K67" cm="1">
        <f t="array" ref="K67">INDEX('Medal Count'!F:F,Events!$C67)</f>
        <v>11</v>
      </c>
      <c r="L67">
        <f>SUM((I67*3)+(J67*2)+(K67*1))</f>
        <v>89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3</v>
      </c>
      <c r="J80" cm="1">
        <f t="array" ref="J80">INDEX('Medal Count'!E:E,Events!$C80)</f>
        <v>4</v>
      </c>
      <c r="K80" cm="1">
        <f t="array" ref="K80">INDEX('Medal Count'!F:F,Events!$C80)</f>
        <v>3</v>
      </c>
      <c r="L80">
        <f t="shared" ref="L80:L83" si="17">SUM((I80*3)+(J80*2)+(K80*1))</f>
        <v>20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1</v>
      </c>
      <c r="J81" cm="1">
        <f t="array" ref="J81">INDEX('Medal Count'!E:E,Events!$C81)</f>
        <v>0</v>
      </c>
      <c r="K81" cm="1">
        <f t="array" ref="K81">INDEX('Medal Count'!F:F,Events!$C81)</f>
        <v>2</v>
      </c>
      <c r="L81">
        <f t="shared" si="17"/>
        <v>5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8</v>
      </c>
      <c r="J82" cm="1">
        <f t="array" ref="J82">INDEX('Medal Count'!E:E,Events!$C82)</f>
        <v>6</v>
      </c>
      <c r="K82" cm="1">
        <f t="array" ref="K82">INDEX('Medal Count'!F:F,Events!$C82)</f>
        <v>4</v>
      </c>
      <c r="L82">
        <f t="shared" si="17"/>
        <v>40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6</v>
      </c>
      <c r="J83" cm="1">
        <f t="array" ref="J83">INDEX('Medal Count'!E:E,Events!$C83)</f>
        <v>9</v>
      </c>
      <c r="K83" cm="1">
        <f t="array" ref="K83">INDEX('Medal Count'!F:F,Events!$C83)</f>
        <v>8</v>
      </c>
      <c r="L83">
        <f t="shared" si="17"/>
        <v>44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12</v>
      </c>
      <c r="J90" cm="1">
        <f t="array" ref="J90">INDEX('Medal Count'!E:E,Events!$C90)</f>
        <v>12</v>
      </c>
      <c r="K90" cm="1">
        <f t="array" ref="K90">INDEX('Medal Count'!F:F,Events!$C90)</f>
        <v>9</v>
      </c>
      <c r="L90">
        <f>SUM((I90*3)+(J90*2)+(K90*1))</f>
        <v>69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99</v>
      </c>
      <c r="N95">
        <f t="shared" si="21"/>
        <v>155</v>
      </c>
      <c r="O95">
        <f t="shared" si="21"/>
        <v>114</v>
      </c>
      <c r="P95">
        <f t="shared" si="21"/>
        <v>105</v>
      </c>
      <c r="Q95">
        <f t="shared" si="21"/>
        <v>112</v>
      </c>
      <c r="R95">
        <f t="shared" si="21"/>
        <v>112</v>
      </c>
      <c r="S95">
        <f t="shared" si="21"/>
        <v>109</v>
      </c>
      <c r="T95">
        <f t="shared" si="21"/>
        <v>97</v>
      </c>
      <c r="U95">
        <f t="shared" si="21"/>
        <v>132</v>
      </c>
      <c r="V95">
        <f t="shared" si="21"/>
        <v>117</v>
      </c>
      <c r="W95">
        <f t="shared" si="21"/>
        <v>147</v>
      </c>
      <c r="X95">
        <f t="shared" si="21"/>
        <v>106</v>
      </c>
      <c r="Y95">
        <f t="shared" si="21"/>
        <v>148</v>
      </c>
      <c r="Z95">
        <f t="shared" si="21"/>
        <v>90</v>
      </c>
      <c r="AA95">
        <f t="shared" si="21"/>
        <v>92</v>
      </c>
      <c r="AB95">
        <f t="shared" si="21"/>
        <v>101</v>
      </c>
      <c r="AC95">
        <f t="shared" si="21"/>
        <v>92</v>
      </c>
      <c r="AD95">
        <f t="shared" si="21"/>
        <v>118</v>
      </c>
      <c r="AE95">
        <f t="shared" si="21"/>
        <v>94</v>
      </c>
      <c r="AF95">
        <f t="shared" si="21"/>
        <v>109</v>
      </c>
      <c r="AG95">
        <f t="shared" si="21"/>
        <v>92</v>
      </c>
      <c r="AH95">
        <f t="shared" si="21"/>
        <v>132</v>
      </c>
      <c r="AI95">
        <f t="shared" si="21"/>
        <v>144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L98"/>
  <sheetViews>
    <sheetView workbookViewId="0">
      <selection activeCell="Q16" sqref="P16:Q16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38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8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8" ht="15.75" thickBot="1" x14ac:dyDescent="0.25">
      <c r="B3" s="11" t="s">
        <v>265</v>
      </c>
      <c r="C3" s="26" t="s">
        <v>141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E3" s="13"/>
      <c r="AF3" s="14"/>
      <c r="AG3" s="13"/>
      <c r="AH3" s="13"/>
      <c r="AI3" s="13"/>
      <c r="AJ3" s="13"/>
      <c r="AK3" s="13"/>
      <c r="AL3" s="13"/>
    </row>
    <row r="4" spans="1:38" ht="15.75" thickBot="1" x14ac:dyDescent="0.25">
      <c r="A4" s="21"/>
      <c r="B4" s="11" t="s">
        <v>265</v>
      </c>
      <c r="C4" s="26" t="s">
        <v>142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8" ht="15.75" thickBot="1" x14ac:dyDescent="0.25">
      <c r="A5" s="21"/>
      <c r="B5" s="11" t="s">
        <v>265</v>
      </c>
      <c r="C5" s="26" t="s">
        <v>143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8" ht="15.75" thickBot="1" x14ac:dyDescent="0.25">
      <c r="A6" s="21"/>
      <c r="B6" s="11" t="s">
        <v>265</v>
      </c>
      <c r="C6" s="26" t="s">
        <v>144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8" ht="15.75" thickBot="1" x14ac:dyDescent="0.25">
      <c r="A7" s="21"/>
      <c r="B7" s="11">
        <v>14</v>
      </c>
      <c r="C7" s="26" t="s">
        <v>145</v>
      </c>
      <c r="D7" s="11">
        <v>3</v>
      </c>
      <c r="E7" s="11">
        <v>2</v>
      </c>
      <c r="F7" s="11">
        <v>1</v>
      </c>
      <c r="G7" s="11">
        <v>6</v>
      </c>
      <c r="H7" s="11">
        <v>0.22</v>
      </c>
      <c r="I7" s="11">
        <v>0.32</v>
      </c>
      <c r="M7" s="15"/>
      <c r="N7" s="13"/>
      <c r="O7" s="14"/>
      <c r="P7" s="13"/>
      <c r="Q7" s="13"/>
      <c r="R7" s="13"/>
      <c r="S7" s="13"/>
      <c r="T7" s="13"/>
      <c r="U7" s="13"/>
    </row>
    <row r="8" spans="1:38" ht="15.75" thickBot="1" x14ac:dyDescent="0.25">
      <c r="A8" s="21"/>
      <c r="B8" s="11">
        <v>9</v>
      </c>
      <c r="C8" s="26" t="s">
        <v>146</v>
      </c>
      <c r="D8" s="11">
        <v>5</v>
      </c>
      <c r="E8" s="11">
        <v>8</v>
      </c>
      <c r="F8" s="11">
        <v>5</v>
      </c>
      <c r="G8" s="11">
        <v>18</v>
      </c>
      <c r="H8" s="11">
        <v>1.97</v>
      </c>
      <c r="I8" s="11">
        <v>2.69</v>
      </c>
      <c r="M8" s="15"/>
      <c r="N8" s="13"/>
      <c r="O8" s="14"/>
      <c r="P8" s="13"/>
      <c r="Q8" s="13"/>
      <c r="R8" s="13"/>
      <c r="S8" s="13"/>
      <c r="T8" s="13"/>
      <c r="U8" s="13"/>
    </row>
    <row r="9" spans="1:38" ht="15.75" thickBot="1" x14ac:dyDescent="0.25">
      <c r="A9" s="21"/>
      <c r="B9" s="11" t="s">
        <v>265</v>
      </c>
      <c r="C9" s="26" t="s">
        <v>147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8" ht="15.75" thickBot="1" x14ac:dyDescent="0.25">
      <c r="A10" s="21"/>
      <c r="B10" s="11">
        <v>29</v>
      </c>
      <c r="C10" s="26" t="s">
        <v>148</v>
      </c>
      <c r="D10" s="11">
        <v>0</v>
      </c>
      <c r="E10" s="11">
        <v>0</v>
      </c>
      <c r="F10" s="11">
        <v>1</v>
      </c>
      <c r="G10" s="11">
        <v>1</v>
      </c>
      <c r="H10" s="11">
        <v>0.08</v>
      </c>
      <c r="I10" s="1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8" ht="15.75" thickBot="1" x14ac:dyDescent="0.25">
      <c r="A11" s="21"/>
      <c r="B11" s="11" t="s">
        <v>265</v>
      </c>
      <c r="C11" s="26" t="s">
        <v>149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8" ht="15.75" thickBot="1" x14ac:dyDescent="0.25">
      <c r="A12" s="21"/>
      <c r="B12" s="11" t="s">
        <v>265</v>
      </c>
      <c r="C12" s="26" t="s">
        <v>150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8" ht="15.75" thickBot="1" x14ac:dyDescent="0.25">
      <c r="A13" s="21"/>
      <c r="B13" s="11" t="s">
        <v>265</v>
      </c>
      <c r="C13" s="26" t="s">
        <v>151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8" ht="15.75" thickBot="1" x14ac:dyDescent="0.25">
      <c r="A14" s="21"/>
      <c r="B14" s="11">
        <v>19</v>
      </c>
      <c r="C14" s="26" t="s">
        <v>152</v>
      </c>
      <c r="D14" s="11">
        <v>1</v>
      </c>
      <c r="E14" s="11">
        <v>0</v>
      </c>
      <c r="F14" s="11">
        <v>0</v>
      </c>
      <c r="G14" s="11">
        <v>1</v>
      </c>
      <c r="H14" s="11">
        <v>0</v>
      </c>
      <c r="I14" s="1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8" ht="15.75" thickBot="1" x14ac:dyDescent="0.25">
      <c r="A15" s="21"/>
      <c r="B15" s="11">
        <v>28</v>
      </c>
      <c r="C15" s="26" t="s">
        <v>153</v>
      </c>
      <c r="D15" s="11">
        <v>0</v>
      </c>
      <c r="E15" s="11">
        <v>0</v>
      </c>
      <c r="F15" s="11">
        <v>2</v>
      </c>
      <c r="G15" s="11">
        <v>2</v>
      </c>
      <c r="H15" s="11">
        <v>0.31</v>
      </c>
      <c r="I15" s="1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8" ht="15.75" thickBot="1" x14ac:dyDescent="0.25">
      <c r="A16" s="21"/>
      <c r="B16" s="11">
        <v>11</v>
      </c>
      <c r="C16" s="26" t="s">
        <v>154</v>
      </c>
      <c r="D16" s="11">
        <v>5</v>
      </c>
      <c r="E16" s="11">
        <v>7</v>
      </c>
      <c r="F16" s="11">
        <v>9</v>
      </c>
      <c r="G16" s="11">
        <v>21</v>
      </c>
      <c r="H16" s="11">
        <v>0.51</v>
      </c>
      <c r="I16" s="11">
        <v>0.8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.75" thickBot="1" x14ac:dyDescent="0.25">
      <c r="A17" s="21"/>
      <c r="B17" s="11" t="s">
        <v>265</v>
      </c>
      <c r="C17" s="26" t="s">
        <v>155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.75" thickBot="1" x14ac:dyDescent="0.25">
      <c r="A18" s="21"/>
      <c r="B18" s="11">
        <v>12</v>
      </c>
      <c r="C18" s="26" t="s">
        <v>156</v>
      </c>
      <c r="D18" s="11">
        <v>5</v>
      </c>
      <c r="E18" s="11">
        <v>4</v>
      </c>
      <c r="F18" s="11">
        <v>6</v>
      </c>
      <c r="G18" s="11">
        <v>15</v>
      </c>
      <c r="H18" s="11">
        <v>0.01</v>
      </c>
      <c r="I18" s="11">
        <v>0.04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.75" thickBot="1" x14ac:dyDescent="0.25">
      <c r="A19" s="21"/>
      <c r="B19" s="11" t="s">
        <v>265</v>
      </c>
      <c r="C19" s="26" t="s">
        <v>157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.75" thickBot="1" x14ac:dyDescent="0.25">
      <c r="A20" s="21"/>
      <c r="B20" s="11" t="s">
        <v>265</v>
      </c>
      <c r="C20" s="26" t="s">
        <v>158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.75" thickBot="1" x14ac:dyDescent="0.25">
      <c r="A21" s="21"/>
      <c r="B21" s="11" t="s">
        <v>265</v>
      </c>
      <c r="C21" s="26" t="s">
        <v>159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.75" thickBot="1" x14ac:dyDescent="0.25">
      <c r="A22" s="21"/>
      <c r="B22" s="11" t="s">
        <v>265</v>
      </c>
      <c r="C22" s="26" t="s">
        <v>160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.75" thickBot="1" x14ac:dyDescent="0.25">
      <c r="A23" s="21"/>
      <c r="B23" s="11">
        <v>16</v>
      </c>
      <c r="C23" s="26" t="s">
        <v>161</v>
      </c>
      <c r="D23" s="11">
        <v>2</v>
      </c>
      <c r="E23" s="11">
        <v>2</v>
      </c>
      <c r="F23" s="11">
        <v>1</v>
      </c>
      <c r="G23" s="11">
        <v>5</v>
      </c>
      <c r="H23" s="11">
        <v>0.46</v>
      </c>
      <c r="I23" s="11">
        <v>0.8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.75" thickBot="1" x14ac:dyDescent="0.25">
      <c r="A24" s="21"/>
      <c r="B24" s="11">
        <v>25</v>
      </c>
      <c r="C24" s="26" t="s">
        <v>162</v>
      </c>
      <c r="D24" s="11">
        <v>0</v>
      </c>
      <c r="E24" s="11">
        <v>1</v>
      </c>
      <c r="F24" s="11">
        <v>0</v>
      </c>
      <c r="G24" s="11">
        <v>1</v>
      </c>
      <c r="H24" s="11">
        <v>0.17</v>
      </c>
      <c r="I24" s="11">
        <v>0.21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.75" thickBot="1" x14ac:dyDescent="0.25">
      <c r="A25" s="21"/>
      <c r="B25" s="11" t="s">
        <v>265</v>
      </c>
      <c r="C25" s="26" t="s">
        <v>163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.75" thickBot="1" x14ac:dyDescent="0.25">
      <c r="A26" s="21"/>
      <c r="B26" s="11" t="s">
        <v>265</v>
      </c>
      <c r="C26" s="26" t="s">
        <v>164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.75" thickBot="1" x14ac:dyDescent="0.25">
      <c r="A27" s="21"/>
      <c r="B27" s="11">
        <v>25</v>
      </c>
      <c r="C27" s="26" t="s">
        <v>165</v>
      </c>
      <c r="D27" s="11">
        <v>0</v>
      </c>
      <c r="E27" s="11">
        <v>1</v>
      </c>
      <c r="F27" s="11">
        <v>0</v>
      </c>
      <c r="G27" s="11">
        <v>1</v>
      </c>
      <c r="H27" s="11">
        <v>0.73</v>
      </c>
      <c r="I27" s="11">
        <v>1.53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.75" thickBot="1" x14ac:dyDescent="0.25">
      <c r="A28" s="21"/>
      <c r="B28" s="11">
        <v>23</v>
      </c>
      <c r="C28" s="26" t="s">
        <v>166</v>
      </c>
      <c r="D28" s="11">
        <v>0</v>
      </c>
      <c r="E28" s="11">
        <v>1</v>
      </c>
      <c r="F28" s="11">
        <v>5</v>
      </c>
      <c r="G28" s="11">
        <v>6</v>
      </c>
      <c r="H28" s="11">
        <v>1.07</v>
      </c>
      <c r="I28" s="11">
        <v>1.65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.75" thickBot="1" x14ac:dyDescent="0.25">
      <c r="A29" s="21"/>
      <c r="B29" s="11">
        <v>6</v>
      </c>
      <c r="C29" s="26" t="s">
        <v>167</v>
      </c>
      <c r="D29" s="11">
        <v>8</v>
      </c>
      <c r="E29" s="11">
        <v>9</v>
      </c>
      <c r="F29" s="11">
        <v>6</v>
      </c>
      <c r="G29" s="11">
        <v>23</v>
      </c>
      <c r="H29" s="11">
        <v>0.34</v>
      </c>
      <c r="I29" s="11">
        <v>0.52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.75" thickBot="1" x14ac:dyDescent="0.25">
      <c r="A30" s="21"/>
      <c r="B30" s="11">
        <v>25</v>
      </c>
      <c r="C30" s="26" t="s">
        <v>168</v>
      </c>
      <c r="D30" s="11">
        <v>0</v>
      </c>
      <c r="E30" s="11">
        <v>1</v>
      </c>
      <c r="F30" s="11">
        <v>0</v>
      </c>
      <c r="G30" s="11">
        <v>1</v>
      </c>
      <c r="H30" s="11">
        <v>0.27</v>
      </c>
      <c r="I30" s="1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.75" thickBot="1" x14ac:dyDescent="0.25">
      <c r="A31" s="21"/>
      <c r="B31" s="11">
        <v>5</v>
      </c>
      <c r="C31" s="26" t="s">
        <v>169</v>
      </c>
      <c r="D31" s="11">
        <v>8</v>
      </c>
      <c r="E31" s="11">
        <v>10</v>
      </c>
      <c r="F31" s="11">
        <v>8</v>
      </c>
      <c r="G31" s="11">
        <v>26</v>
      </c>
      <c r="H31" s="11">
        <v>0.31</v>
      </c>
      <c r="I31" s="11">
        <v>0.43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.75" thickBot="1" x14ac:dyDescent="0.25">
      <c r="A32" s="21"/>
      <c r="B32" s="11">
        <v>15</v>
      </c>
      <c r="C32" s="26" t="s">
        <v>170</v>
      </c>
      <c r="D32" s="11">
        <v>3</v>
      </c>
      <c r="E32" s="11">
        <v>1</v>
      </c>
      <c r="F32" s="11">
        <v>1</v>
      </c>
      <c r="G32" s="11">
        <v>5</v>
      </c>
      <c r="H32" s="11">
        <v>7.0000000000000007E-2</v>
      </c>
      <c r="I32" s="11">
        <v>0.12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.75" thickBot="1" x14ac:dyDescent="0.25">
      <c r="A33" s="21"/>
      <c r="B33" s="11" t="s">
        <v>265</v>
      </c>
      <c r="C33" s="26" t="s">
        <v>171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.75" thickBot="1" x14ac:dyDescent="0.25">
      <c r="A34" s="21"/>
      <c r="B34" s="11" t="s">
        <v>265</v>
      </c>
      <c r="C34" s="26" t="s">
        <v>172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.75" thickBot="1" x14ac:dyDescent="0.25">
      <c r="A35" s="21"/>
      <c r="B35" s="11" t="s">
        <v>265</v>
      </c>
      <c r="C35" s="26" t="s">
        <v>173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.75" thickBot="1" x14ac:dyDescent="0.25">
      <c r="A36" s="21"/>
      <c r="B36" s="11" t="s">
        <v>265</v>
      </c>
      <c r="C36" s="26" t="s">
        <v>174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.75" thickBot="1" x14ac:dyDescent="0.25">
      <c r="A37" s="21"/>
      <c r="B37" s="11" t="s">
        <v>265</v>
      </c>
      <c r="C37" s="26" t="s">
        <v>175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.75" thickBot="1" x14ac:dyDescent="0.25">
      <c r="A38" s="21"/>
      <c r="B38" s="11" t="s">
        <v>265</v>
      </c>
      <c r="C38" s="26" t="s">
        <v>176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.75" thickBot="1" x14ac:dyDescent="0.25">
      <c r="A39" s="21"/>
      <c r="B39" s="11" t="s">
        <v>265</v>
      </c>
      <c r="C39" s="26" t="s">
        <v>177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.75" thickBot="1" x14ac:dyDescent="0.25">
      <c r="A40" s="21"/>
      <c r="B40" s="11" t="s">
        <v>265</v>
      </c>
      <c r="C40" s="26" t="s">
        <v>178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.75" thickBot="1" x14ac:dyDescent="0.25">
      <c r="A41" s="21"/>
      <c r="B41" s="11" t="s">
        <v>265</v>
      </c>
      <c r="C41" s="26" t="s">
        <v>179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.75" thickBot="1" x14ac:dyDescent="0.25">
      <c r="A42" s="21"/>
      <c r="B42" s="11" t="s">
        <v>265</v>
      </c>
      <c r="C42" s="26" t="s">
        <v>180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.75" thickBot="1" x14ac:dyDescent="0.25">
      <c r="A43" s="21"/>
      <c r="B43" s="11">
        <v>4</v>
      </c>
      <c r="C43" s="26" t="s">
        <v>139</v>
      </c>
      <c r="D43" s="11">
        <v>10</v>
      </c>
      <c r="E43" s="11">
        <v>6</v>
      </c>
      <c r="F43" s="22">
        <v>14</v>
      </c>
      <c r="G43" s="11">
        <v>30</v>
      </c>
      <c r="H43" s="11">
        <v>0.51</v>
      </c>
      <c r="I43" s="11">
        <v>0.83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.75" thickBot="1" x14ac:dyDescent="0.25">
      <c r="A44" s="21"/>
      <c r="B44" s="11" t="s">
        <v>265</v>
      </c>
      <c r="C44" s="26" t="s">
        <v>181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.75" thickBot="1" x14ac:dyDescent="0.25">
      <c r="A45" s="21"/>
      <c r="B45" s="11">
        <v>10</v>
      </c>
      <c r="C45" s="26" t="s">
        <v>182</v>
      </c>
      <c r="D45" s="11">
        <v>5</v>
      </c>
      <c r="E45" s="11">
        <v>7</v>
      </c>
      <c r="F45" s="11">
        <v>12</v>
      </c>
      <c r="G45" s="11">
        <v>24</v>
      </c>
      <c r="H45" s="11">
        <v>0.19</v>
      </c>
      <c r="I45" s="11">
        <v>0.37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.75" thickBot="1" x14ac:dyDescent="0.25">
      <c r="A46" s="21"/>
      <c r="B46" s="11">
        <v>19</v>
      </c>
      <c r="C46" s="26" t="s">
        <v>183</v>
      </c>
      <c r="D46" s="11">
        <v>1</v>
      </c>
      <c r="E46" s="11">
        <v>0</v>
      </c>
      <c r="F46" s="11">
        <v>0</v>
      </c>
      <c r="G46" s="11">
        <v>1</v>
      </c>
      <c r="H46" s="11">
        <v>0.05</v>
      </c>
      <c r="I46" s="1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.75" thickBot="1" x14ac:dyDescent="0.25">
      <c r="A47" s="21"/>
      <c r="B47" s="11" t="s">
        <v>265</v>
      </c>
      <c r="C47" s="26" t="s">
        <v>184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.75" thickBot="1" x14ac:dyDescent="0.25">
      <c r="A48" s="21"/>
      <c r="B48" s="11" t="s">
        <v>265</v>
      </c>
      <c r="C48" s="26" t="s">
        <v>185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.75" thickBot="1" x14ac:dyDescent="0.25">
      <c r="A49" s="21"/>
      <c r="B49" s="11" t="s">
        <v>265</v>
      </c>
      <c r="C49" s="26" t="s">
        <v>186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.75" thickBot="1" x14ac:dyDescent="0.25">
      <c r="A50" s="21"/>
      <c r="B50" s="11">
        <v>24</v>
      </c>
      <c r="C50" s="26" t="s">
        <v>187</v>
      </c>
      <c r="D50" s="11">
        <v>0</v>
      </c>
      <c r="E50" s="11">
        <v>1</v>
      </c>
      <c r="F50" s="11">
        <v>1</v>
      </c>
      <c r="G50" s="11">
        <v>2</v>
      </c>
      <c r="H50" s="11">
        <v>1.07</v>
      </c>
      <c r="I50" s="1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.75" thickBot="1" x14ac:dyDescent="0.25">
      <c r="A51" s="21"/>
      <c r="B51" s="11" t="s">
        <v>265</v>
      </c>
      <c r="C51" s="26" t="s">
        <v>188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.75" thickBot="1" x14ac:dyDescent="0.25">
      <c r="A52" s="21"/>
      <c r="B52" s="11" t="s">
        <v>265</v>
      </c>
      <c r="C52" s="26" t="s">
        <v>189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.75" thickBot="1" x14ac:dyDescent="0.25">
      <c r="A53" s="21"/>
      <c r="B53" s="11" t="s">
        <v>265</v>
      </c>
      <c r="C53" s="26" t="s">
        <v>190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.75" thickBot="1" x14ac:dyDescent="0.25">
      <c r="A54" s="21"/>
      <c r="B54" s="11" t="s">
        <v>265</v>
      </c>
      <c r="C54" s="26" t="s">
        <v>191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.75" thickBot="1" x14ac:dyDescent="0.25">
      <c r="A55" s="21"/>
      <c r="B55" s="11" t="s">
        <v>265</v>
      </c>
      <c r="C55" s="26" t="s">
        <v>192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.75" thickBot="1" x14ac:dyDescent="0.25">
      <c r="A56" s="21"/>
      <c r="B56" s="11" t="s">
        <v>265</v>
      </c>
      <c r="C56" s="26" t="s">
        <v>193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.75" thickBot="1" x14ac:dyDescent="0.25">
      <c r="A57" s="21"/>
      <c r="B57" s="11" t="s">
        <v>265</v>
      </c>
      <c r="C57" s="26" t="s">
        <v>194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.75" thickBot="1" x14ac:dyDescent="0.25">
      <c r="A58" s="21"/>
      <c r="B58" s="11" t="s">
        <v>265</v>
      </c>
      <c r="C58" s="26" t="s">
        <v>195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.75" thickBot="1" x14ac:dyDescent="0.25">
      <c r="A59" s="21"/>
      <c r="B59" s="11" t="s">
        <v>265</v>
      </c>
      <c r="C59" s="26" t="s">
        <v>196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.75" thickBot="1" x14ac:dyDescent="0.25">
      <c r="A60" s="21"/>
      <c r="B60" s="11" t="s">
        <v>265</v>
      </c>
      <c r="C60" s="26" t="s">
        <v>197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.75" thickBot="1" x14ac:dyDescent="0.25">
      <c r="A61" s="21"/>
      <c r="B61" s="11" t="s">
        <v>265</v>
      </c>
      <c r="C61" s="26" t="s">
        <v>198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.75" thickBot="1" x14ac:dyDescent="0.25">
      <c r="A62" s="21"/>
      <c r="B62" s="11" t="s">
        <v>265</v>
      </c>
      <c r="C62" s="26" t="s">
        <v>199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.75" thickBot="1" x14ac:dyDescent="0.25">
      <c r="A63" s="21"/>
      <c r="B63" s="11" t="s">
        <v>265</v>
      </c>
      <c r="C63" s="26" t="s">
        <v>200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.75" thickBot="1" x14ac:dyDescent="0.25">
      <c r="A64" s="21"/>
      <c r="B64" s="11">
        <v>3</v>
      </c>
      <c r="C64" s="26" t="s">
        <v>201</v>
      </c>
      <c r="D64" s="11">
        <v>10</v>
      </c>
      <c r="E64" s="11">
        <v>7</v>
      </c>
      <c r="F64" s="11">
        <v>3</v>
      </c>
      <c r="G64" s="11">
        <v>20</v>
      </c>
      <c r="H64" s="11">
        <v>1.1100000000000001</v>
      </c>
      <c r="I64" s="11">
        <v>1.37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.75" thickBot="1" x14ac:dyDescent="0.25">
      <c r="A65" s="21"/>
      <c r="B65" s="11">
        <v>22</v>
      </c>
      <c r="C65" s="26" t="s">
        <v>202</v>
      </c>
      <c r="D65" s="11">
        <v>0</v>
      </c>
      <c r="E65" s="11">
        <v>2</v>
      </c>
      <c r="F65" s="11">
        <v>1</v>
      </c>
      <c r="G65" s="11">
        <v>3</v>
      </c>
      <c r="H65" s="11">
        <v>0.56999999999999995</v>
      </c>
      <c r="I65" s="11">
        <v>1.04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.75" thickBot="1" x14ac:dyDescent="0.25">
      <c r="A66" s="21"/>
      <c r="B66" s="11" t="s">
        <v>265</v>
      </c>
      <c r="C66" s="26" t="s">
        <v>203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.75" thickBot="1" x14ac:dyDescent="0.25">
      <c r="A67" s="21"/>
      <c r="B67" s="11" t="s">
        <v>265</v>
      </c>
      <c r="C67" s="26" t="s">
        <v>204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.75" thickBot="1" x14ac:dyDescent="0.25">
      <c r="A68" s="21"/>
      <c r="B68" s="11">
        <v>1</v>
      </c>
      <c r="C68" s="26" t="s">
        <v>140</v>
      </c>
      <c r="D68" s="23">
        <v>18</v>
      </c>
      <c r="E68" s="25">
        <v>12</v>
      </c>
      <c r="F68" s="11">
        <v>11</v>
      </c>
      <c r="G68" s="24">
        <v>41</v>
      </c>
      <c r="H68" s="11">
        <v>7.34</v>
      </c>
      <c r="I68" s="11">
        <v>7.08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.75" thickBot="1" x14ac:dyDescent="0.25">
      <c r="A69" s="21"/>
      <c r="B69" s="11" t="s">
        <v>265</v>
      </c>
      <c r="C69" s="26" t="s">
        <v>205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.75" thickBot="1" x14ac:dyDescent="0.25">
      <c r="A70" s="21"/>
      <c r="B70" s="11" t="s">
        <v>265</v>
      </c>
      <c r="C70" s="26" t="s">
        <v>206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.75" thickBot="1" x14ac:dyDescent="0.25">
      <c r="A71" s="21"/>
      <c r="B71" s="11">
        <v>21</v>
      </c>
      <c r="C71" s="26" t="s">
        <v>207</v>
      </c>
      <c r="D71" s="11">
        <v>0</v>
      </c>
      <c r="E71" s="11">
        <v>3</v>
      </c>
      <c r="F71" s="11">
        <v>1</v>
      </c>
      <c r="G71" s="11">
        <v>4</v>
      </c>
      <c r="H71" s="11">
        <v>0.11</v>
      </c>
      <c r="I71" s="1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.75" thickBot="1" x14ac:dyDescent="0.25">
      <c r="A72" s="21"/>
      <c r="B72" s="11" t="s">
        <v>265</v>
      </c>
      <c r="C72" s="26" t="s">
        <v>208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.75" thickBot="1" x14ac:dyDescent="0.25">
      <c r="A73" s="21"/>
      <c r="B73" s="11" t="s">
        <v>265</v>
      </c>
      <c r="C73" s="26" t="s">
        <v>209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.75" thickBot="1" x14ac:dyDescent="0.25">
      <c r="A74" s="21"/>
      <c r="B74" s="11" t="s">
        <v>265</v>
      </c>
      <c r="C74" s="26" t="s">
        <v>210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.75" thickBot="1" x14ac:dyDescent="0.25">
      <c r="A75" s="21"/>
      <c r="B75" s="11" t="s">
        <v>265</v>
      </c>
      <c r="C75" s="26" t="s">
        <v>211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.75" thickBot="1" x14ac:dyDescent="0.25">
      <c r="A76" s="21"/>
      <c r="B76" s="11" t="s">
        <v>265</v>
      </c>
      <c r="C76" s="26" t="s">
        <v>212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.75" thickBot="1" x14ac:dyDescent="0.25">
      <c r="A77" s="21"/>
      <c r="B77" s="11" t="s">
        <v>265</v>
      </c>
      <c r="C77" s="26" t="s">
        <v>213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.75" thickBot="1" x14ac:dyDescent="0.25">
      <c r="A78" s="21"/>
      <c r="B78" s="11" t="s">
        <v>265</v>
      </c>
      <c r="C78" s="26" t="s">
        <v>214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.75" thickBot="1" x14ac:dyDescent="0.25">
      <c r="A79" s="21"/>
      <c r="B79" s="11" t="s">
        <v>265</v>
      </c>
      <c r="C79" s="26" t="s">
        <v>215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.75" thickBot="1" x14ac:dyDescent="0.25">
      <c r="A80" s="21"/>
      <c r="B80" s="11">
        <v>17</v>
      </c>
      <c r="C80" s="26" t="s">
        <v>216</v>
      </c>
      <c r="D80" s="11">
        <v>2</v>
      </c>
      <c r="E80" s="11">
        <v>1</v>
      </c>
      <c r="F80" s="11">
        <v>1</v>
      </c>
      <c r="G80" s="11">
        <v>4</v>
      </c>
      <c r="H80" s="11">
        <v>1.88</v>
      </c>
      <c r="I80" s="1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.75" thickBot="1" x14ac:dyDescent="0.25">
      <c r="A81" s="21"/>
      <c r="B81" s="11" t="s">
        <v>265</v>
      </c>
      <c r="C81" s="26" t="s">
        <v>217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.75" thickBot="1" x14ac:dyDescent="0.25">
      <c r="A82" s="21"/>
      <c r="B82" s="11">
        <v>13</v>
      </c>
      <c r="C82" s="26" t="s">
        <v>218</v>
      </c>
      <c r="D82" s="11">
        <v>3</v>
      </c>
      <c r="E82" s="11">
        <v>4</v>
      </c>
      <c r="F82" s="11">
        <v>3</v>
      </c>
      <c r="G82" s="11">
        <v>10</v>
      </c>
      <c r="H82" s="11">
        <v>0.19</v>
      </c>
      <c r="I82" s="11">
        <v>0.31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.75" thickBot="1" x14ac:dyDescent="0.25">
      <c r="A83" s="21"/>
      <c r="B83" s="11">
        <v>18</v>
      </c>
      <c r="C83" s="26" t="s">
        <v>219</v>
      </c>
      <c r="D83" s="11">
        <v>1</v>
      </c>
      <c r="E83" s="11">
        <v>0</v>
      </c>
      <c r="F83" s="11">
        <v>2</v>
      </c>
      <c r="G83" s="11">
        <v>3</v>
      </c>
      <c r="H83" s="11">
        <v>0.06</v>
      </c>
      <c r="I83" s="11">
        <v>0.11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.75" thickBot="1" x14ac:dyDescent="0.25">
      <c r="A84" s="21"/>
      <c r="B84" s="11">
        <v>7</v>
      </c>
      <c r="C84" s="26" t="s">
        <v>137</v>
      </c>
      <c r="D84" s="11">
        <v>8</v>
      </c>
      <c r="E84" s="11">
        <v>6</v>
      </c>
      <c r="F84" s="11">
        <v>4</v>
      </c>
      <c r="G84" s="11">
        <v>18</v>
      </c>
      <c r="H84" s="11">
        <v>1.7</v>
      </c>
      <c r="I84" s="11">
        <v>2.38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.75" thickBot="1" x14ac:dyDescent="0.25">
      <c r="A85" s="21"/>
      <c r="B85" s="11">
        <v>8</v>
      </c>
      <c r="C85" s="26" t="s">
        <v>138</v>
      </c>
      <c r="D85" s="11">
        <v>6</v>
      </c>
      <c r="E85" s="11">
        <v>9</v>
      </c>
      <c r="F85" s="11">
        <v>8</v>
      </c>
      <c r="G85" s="11">
        <v>23</v>
      </c>
      <c r="H85" s="11">
        <v>2.57</v>
      </c>
      <c r="I85" s="11">
        <v>2.7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.75" thickBot="1" x14ac:dyDescent="0.25">
      <c r="A86" s="21"/>
      <c r="B86" s="11" t="s">
        <v>265</v>
      </c>
      <c r="C86" s="26" t="s">
        <v>220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.75" thickBot="1" x14ac:dyDescent="0.25">
      <c r="A87" s="21"/>
      <c r="B87" s="11" t="s">
        <v>265</v>
      </c>
      <c r="C87" s="26" t="s">
        <v>221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.75" thickBot="1" x14ac:dyDescent="0.25">
      <c r="A88" s="21"/>
      <c r="B88" s="11" t="s">
        <v>265</v>
      </c>
      <c r="C88" s="26" t="s">
        <v>222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.75" thickBot="1" x14ac:dyDescent="0.25">
      <c r="A89" s="21"/>
      <c r="B89" s="11" t="s">
        <v>265</v>
      </c>
      <c r="C89" s="26" t="s">
        <v>223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.75" thickBot="1" x14ac:dyDescent="0.25">
      <c r="A90" s="21"/>
      <c r="B90" s="11" t="s">
        <v>265</v>
      </c>
      <c r="C90" s="26" t="s">
        <v>224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.75" thickBot="1" x14ac:dyDescent="0.25">
      <c r="A91" s="21"/>
      <c r="B91" s="11">
        <v>2</v>
      </c>
      <c r="C91" s="26" t="s">
        <v>225</v>
      </c>
      <c r="D91" s="11">
        <v>12</v>
      </c>
      <c r="E91" s="25">
        <v>12</v>
      </c>
      <c r="F91" s="11">
        <v>9</v>
      </c>
      <c r="G91" s="11">
        <v>33</v>
      </c>
      <c r="H91" s="11">
        <v>0.1</v>
      </c>
      <c r="I91" s="11">
        <v>0.11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.75" thickBot="1" x14ac:dyDescent="0.25">
      <c r="A92" s="21"/>
      <c r="B92" s="11" t="s">
        <v>265</v>
      </c>
      <c r="C92" s="26" t="s">
        <v>226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.75" thickBot="1" x14ac:dyDescent="0.25">
      <c r="A93" s="21"/>
      <c r="B93" s="11" t="s">
        <v>265</v>
      </c>
      <c r="C93" s="26" t="s">
        <v>227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.75" thickBot="1" x14ac:dyDescent="0.25">
      <c r="A94" s="21"/>
      <c r="B94" s="11" t="s">
        <v>265</v>
      </c>
      <c r="C94" s="26" t="s">
        <v>228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.75" thickBot="1" x14ac:dyDescent="0.25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.75" thickBot="1" x14ac:dyDescent="0.25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.75" thickBot="1" x14ac:dyDescent="0.25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.75" thickBot="1" x14ac:dyDescent="0.25">
      <c r="A98" s="16"/>
      <c r="B98" s="17"/>
      <c r="C98" s="18" t="s">
        <v>238</v>
      </c>
      <c r="D98" s="17">
        <v>0</v>
      </c>
      <c r="E98" s="17">
        <v>1</v>
      </c>
      <c r="F98" s="17">
        <v>0</v>
      </c>
      <c r="G98" s="17">
        <v>1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2026-02-22T20:04:35Z</dcterms:modified>
</cp:coreProperties>
</file>