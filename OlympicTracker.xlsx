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sstorsrvreg\Shared\Common\Committees\Donations Committee\2026 Donations\TeleMiracle50\Olympics\"/>
    </mc:Choice>
  </mc:AlternateContent>
  <xr:revisionPtr revIDLastSave="0" documentId="13_ncr:1_{39AF5D50-0B03-4B01-8016-8228ECBFFF2A}" xr6:coauthVersionLast="47" xr6:coauthVersionMax="47" xr10:uidLastSave="{00000000-0000-0000-0000-000000000000}"/>
  <bookViews>
    <workbookView xWindow="28680" yWindow="-120" windowWidth="29040" windowHeight="15720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  <definedName name="_xlnm._FilterDatabase" localSheetId="1" hidden="1">Events!$A$1:$AI$95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32" i="3" l="1"/>
  <c r="L74" i="3"/>
  <c r="L90" i="3"/>
  <c r="L14" i="3"/>
  <c r="L15" i="3"/>
  <c r="L28" i="3"/>
  <c r="L35" i="3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<sst xmlns="http://schemas.openxmlformats.org/spreadsheetml/2006/main" count="457" uniqueCount="268">
  <si>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</si>
  <si>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</si>
  <si>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</si>
  <si>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</si>
  <si>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</si>
  <si>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</si>
  <si>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</si>
  <si>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</si>
  <si>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</si>
  <si>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</si>
  <si>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</si>
  <si>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</si>
  <si>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</si>
  <si>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</si>
  <si>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</si>
  <si>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</si>
  <si>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</si>
  <si>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</si>
  <si>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</si>
  <si>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</si>
  <si>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</si>
  <si>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</si>
  <si>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</si>
  <si>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</si>
  <si>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</si>
  <si>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</si>
  <si>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</si>
  <si>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</si>
  <si>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</si>
  <si>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</si>
  <si>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</si>
  <si>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</si>
  <si>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</si>
  <si>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</si>
  <si>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</si>
  <si>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</si>
  <si>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</si>
  <si>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</si>
  <si>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</si>
  <si>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</si>
  <si>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</si>
  <si>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</si>
  <si>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</si>
  <si>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</si>
  <si>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</si>
  <si>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</si>
  <si>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</si>
  <si>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</si>
  <si>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</si>
  <si>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</si>
  <si>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</si>
  <si>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</si>
  <si>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</si>
  <si>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</si>
  <si>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</si>
  <si>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</si>
  <si>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</si>
  <si>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</si>
  <si>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</si>
  <si>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</si>
  <si>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</si>
  <si>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</si>
  <si>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</si>
  <si>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</si>
  <si>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</si>
  <si>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</si>
  <si>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</si>
  <si>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</si>
  <si>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</si>
  <si>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</si>
  <si>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</si>
  <si>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</si>
  <si>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</si>
  <si>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</si>
  <si>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</si>
  <si>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</si>
  <si>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</si>
  <si>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</si>
  <si>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</si>
  <si>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</si>
  <si>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</si>
  <si>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</si>
  <si>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</si>
  <si>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</si>
  <si>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</si>
  <si>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</si>
  <si>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</si>
  <si>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</si>
  <si>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</si>
  <si>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</si>
  <si>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</si>
  <si>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</si>
  <si>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</si>
  <si>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</si>
  <si>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</si>
  <si>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</si>
  <si>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</si>
  <si>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</si>
  <si>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</si>
  <si>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</si>
  <si>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</si>
  <si>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</si>
  <si>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</si>
  <si>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</si>
  <si>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</si>
  <si>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</si>
  <si>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</si>
  <si>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</si>
  <si>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</si>
  <si>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</si>
  <si>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</si>
  <si>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</si>
  <si>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</si>
  <si>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</si>
  <si>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</si>
  <si>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</si>
  <si>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</si>
  <si>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</si>
  <si>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</si>
  <si>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</si>
  <si>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</si>
  <si>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</si>
  <si>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</si>
  <si>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</si>
  <si>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</si>
  <si>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</si>
  <si>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</si>
  <si>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</si>
  <si>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</si>
  <si>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</si>
  <si>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</si>
  <si>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</si>
  <si>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</si>
  <si>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</si>
  <si>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</si>
  <si>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</si>
  <si>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</si>
  <si>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</si>
  <si>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</si>
  <si>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</si>
  <si>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</si>
  <si>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</si>
  <si>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</si>
  <si>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</si>
  <si>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</si>
  <si>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</si>
  <si>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</si>
  <si>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</si>
  <si>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</si>
  <si>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</si>
  <si>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</si>
  <si>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</si>
  <si>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</si>
  <si>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</si>
  <si>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</si>
  <si>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</si>
  <si>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</si>
  <si>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</si>
  <si>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</si>
  <si>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</si>
  <si>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</si>
  <si>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</si>
  <si>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</si>
  <si>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</si>
  <si>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</si>
  <si>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</si>
  <si>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</si>
  <si>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</si>
  <si>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</si>
  <si>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</si>
  <si>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</si>
  <si>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</si>
  <si>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</si>
  <si>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</si>
  <si>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</si>
  <si>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</si>
  <si>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</si>
  <si>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</si>
  <si>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</si>
  <si>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</si>
  <si>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</si>
  <si>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</si>
  <si>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</si>
  <si>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</si>
  <si>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</si>
  <si>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</si>
  <si>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</si>
  <si>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</si>
  <si>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</si>
  <si>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</si>
  <si>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</si>
  <si>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</si>
  <si>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</si>
  <si>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</si>
  <si>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</si>
  <si>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</si>
  <si>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</si>
  <si>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</si>
  <si>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</si>
  <si>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</si>
  <si>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</si>
  <si>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</si>
  <si>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</si>
  <si>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</si>
  <si>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</si>
  <si>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</si>
  <si>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</si>
  <si>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</si>
  <si>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</si>
  <si>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</si>
  <si>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</si>
  <si>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</si>
  <si>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</si>
  <si>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</si>
  <si>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</si>
  <si>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</si>
  <si>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</si>
  <si>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</si>
  <si>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</si>
  <si>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</si>
  <si>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</si>
  <si>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</si>
  <si>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</si>
  <si>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</si>
  <si>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</si>
  <si>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</si>
  <si>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</si>
  <si>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</si>
  <si>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</si>
  <si>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</si>
  <si>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</si>
  <si>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</si>
  <si>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</si>
  <si>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</si>
  <si>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</si>
  <si>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</si>
  <si>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</si>
  <si>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</si>
  <si>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</si>
  <si>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</si>
  <si>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</si>
  <si>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</si>
  <si>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</si>
  <si>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</si>
  <si>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</si>
  <si>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</si>
  <si>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</si>
  <si>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</si>
  <si>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</si>
  <si>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</si>
  <si>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</si>
  <si>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</si>
  <si>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</si>
  <si>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</si>
  <si>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</si>
  <si>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</si>
  <si>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</si>
  <si>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Grace (USA, Sweden, Great Britain, Czech)</t>
  </si>
  <si>
    <t>Tiffany (Canada, Sweden, Finland, Slovakia, Poland)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</si>
  <si>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</si>
  <si>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</si>
  <si>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</si>
  <si>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</si>
  <si>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</si>
  <si>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</si>
  <si>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</si>
  <si>
    <t>Neigum (Czech, Estonia, Finland, Italy, Latvia, United States)</t>
  </si>
  <si>
    <t>Kurt (Austria, Czech, Italy, New Zealand, South Korea, Denmark)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</si>
</sst>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0" fillId="4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7" borderId="1" xfId="0" applyFont="1" applyFill="1" applyBorder="1" applyAlignment="1">
      <alignment horizontal="right" vertical="center" wrapText="1"/>
    </xf>
    <xf numFmtId="0" fontId="11" fillId="5" borderId="1" xfId="0" applyFont="1" applyFill="1" applyBorder="1" applyAlignment="1">
      <alignment horizontal="right" vertical="center" wrapText="1"/>
    </xf>
    <xf numFmtId="0" fontId="13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tabSelected="1" workbookViewId="0">
      <selection activeCell="D27" sqref="D27"/>
    </sheetView>
  </sheetViews>
  <sheetFormatPr defaultRowHeight="14.25" x14ac:dyDescent="0.2"/>
  <cols>
    <col min="1" max="1" width="56.375" customWidth="1"/>
  </cols>
  <sheetData>
    <row r="1" spans="1:2" x14ac:dyDescent="0.2">
      <c r="A1" t="s">
        <v>242</v>
      </c>
      <c r="B1" t="s">
        <v>243</v>
      </c>
    </row>
    <row r="2" spans="1:2" x14ac:dyDescent="0.2">
      <c r="A2" t="s">
        <v>267</v>
      </c>
      <c r="B2">
        <f>Events!U95</f>
        <v>113</v>
      </c>
    </row>
    <row r="3" spans="1:2" x14ac:dyDescent="0.2">
      <c r="A3" t="s">
        <v>266</v>
      </c>
      <c r="B3">
        <f>Events!Y95</f>
        <v>125</v>
      </c>
    </row>
    <row r="4" spans="1:2" x14ac:dyDescent="0.2">
      <c r="A4" t="s">
        <v>259</v>
      </c>
      <c r="B4">
        <f>Events!AI95</f>
        <v>128</v>
      </c>
    </row>
    <row r="5" spans="1:2" x14ac:dyDescent="0.2">
      <c r="A5" t="s">
        <v>256</v>
      </c>
      <c r="B5">
        <f>Events!N95</f>
        <v>131</v>
      </c>
    </row>
    <row r="6" spans="1:2" x14ac:dyDescent="0.2">
      <c r="A6" t="s">
        <v>245</v>
      </c>
      <c r="B6">
        <f>Events!W95</f>
        <v>121</v>
      </c>
    </row>
    <row r="7" spans="1:2" x14ac:dyDescent="0.2">
      <c r="A7" t="s">
        <v>260</v>
      </c>
      <c r="B7">
        <f>Events!O95</f>
        <v>104</v>
      </c>
    </row>
    <row r="8" spans="1:2" x14ac:dyDescent="0.2">
      <c r="A8" t="s">
        <v>257</v>
      </c>
      <c r="B8">
        <f>Events!AH95</f>
        <v>110</v>
      </c>
    </row>
    <row r="9" spans="1:2" x14ac:dyDescent="0.2">
      <c r="A9" t="s">
        <v>251</v>
      </c>
      <c r="B9">
        <f>Events!Q95</f>
        <v>102</v>
      </c>
    </row>
    <row r="10" spans="1:2" x14ac:dyDescent="0.2">
      <c r="A10" t="s">
        <v>261</v>
      </c>
      <c r="B10">
        <f>Events!S95</f>
        <v>94</v>
      </c>
    </row>
    <row r="11" spans="1:2" x14ac:dyDescent="0.2">
      <c r="A11" t="s">
        <v>262</v>
      </c>
      <c r="B11">
        <f>Events!R95</f>
        <v>95</v>
      </c>
    </row>
    <row r="12" spans="1:2" x14ac:dyDescent="0.2">
      <c r="A12" t="s">
        <v>263</v>
      </c>
      <c r="B12">
        <f>Events!AF95</f>
        <v>94</v>
      </c>
    </row>
    <row r="13" spans="1:2" x14ac:dyDescent="0.2">
      <c r="A13" t="s">
        <v>264</v>
      </c>
      <c r="B13">
        <f>Events!X95</f>
        <v>97</v>
      </c>
    </row>
    <row r="14" spans="1:2" x14ac:dyDescent="0.2">
      <c r="A14" t="s">
        <v>244</v>
      </c>
      <c r="B14">
        <f>Events!AE95</f>
        <v>78</v>
      </c>
    </row>
    <row r="15" spans="1:2" x14ac:dyDescent="0.2">
      <c r="A15" t="s">
        <v>249</v>
      </c>
      <c r="B15">
        <f>Events!AB95</f>
        <v>86</v>
      </c>
    </row>
    <row r="16" spans="1:2" x14ac:dyDescent="0.2">
      <c r="A16" t="s">
        <v>248</v>
      </c>
      <c r="B16">
        <f>Events!AD95</f>
        <v>96</v>
      </c>
    </row>
    <row r="17" spans="1:2" x14ac:dyDescent="0.2">
      <c r="A17" t="s">
        <v>258</v>
      </c>
      <c r="B17">
        <f>Events!AG95</f>
        <v>76</v>
      </c>
    </row>
    <row r="18" spans="1:2" x14ac:dyDescent="0.2">
      <c r="A18" t="s">
        <v>246</v>
      </c>
      <c r="B18">
        <f>Events!AA95</f>
        <v>76</v>
      </c>
    </row>
    <row r="19" spans="1:2" x14ac:dyDescent="0.2">
      <c r="A19" t="s">
        <v>247</v>
      </c>
      <c r="B19">
        <f>Events!AC95</f>
        <v>76</v>
      </c>
    </row>
    <row r="20" spans="1:2" x14ac:dyDescent="0.2">
      <c r="A20" t="s">
        <v>254</v>
      </c>
      <c r="B20">
        <f>Events!P95</f>
        <v>86</v>
      </c>
    </row>
    <row r="21" spans="1:2" x14ac:dyDescent="0.2">
      <c r="A21" t="s">
        <v>252</v>
      </c>
      <c r="B21">
        <f>Events!V95</f>
        <v>96</v>
      </c>
    </row>
    <row r="22" spans="1:2" x14ac:dyDescent="0.2">
      <c r="A22" t="s">
        <v>253</v>
      </c>
      <c r="B22">
        <f>Events!T95</f>
        <v>76</v>
      </c>
    </row>
    <row r="23" spans="1:2" x14ac:dyDescent="0.2">
      <c r="A23" t="s">
        <v>255</v>
      </c>
      <c r="B23">
        <f>Events!M95</f>
        <v>80</v>
      </c>
    </row>
    <row r="24" spans="1:2" x14ac:dyDescent="0.2">
      <c r="A24" t="s">
        <v>250</v>
      </c>
      <c r="B24">
        <f>Events!Z95</f>
        <v>72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U7" activePane="bottomRight" state="frozen"/>
      <selection pane="topRight" activeCell="M1" sqref="M1"/>
      <selection pane="bottomLeft" activeCell="A2" sqref="A2"/>
      <selection pane="bottomRight" activeCell="U80" sqref="U80"/>
    </sheetView>
  </sheetViews>
  <sheetFormatPr defaultRowHeight="14.25" x14ac:dyDescent="0.2"/>
  <cols>
    <col min="1" max="2" width="19.5" bestFit="1" customWidth="1"/>
    <col min="3" max="3" width="19.5" customWidth="1"/>
    <col min="4" max="4" width="9.125" bestFit="1" customWidth="1"/>
    <col min="5" max="5" width="9.875" bestFit="1" customWidth="1"/>
    <col min="6" max="6" width="11.25" bestFit="1" customWidth="1"/>
    <col min="7" max="7" width="4.75" bestFit="1" customWidth="1"/>
    <col min="8" max="8" width="15.625" bestFit="1" customWidth="1"/>
    <col min="9" max="9" width="9.125" bestFit="1" customWidth="1"/>
    <col min="10" max="10" width="9.875" bestFit="1" customWidth="1"/>
    <col min="11" max="11" width="11.25" bestFit="1" customWidth="1"/>
    <col min="12" max="12" width="10.5" bestFit="1" customWidth="1"/>
    <col min="13" max="13" width="20" customWidth="1"/>
    <col min="14" max="14" width="15.75" customWidth="1"/>
    <col min="15" max="15" width="18" customWidth="1"/>
  </cols>
  <sheetData>
    <row r="1" spans="1:35" x14ac:dyDescent="0.2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">
      <c r="A2" s="1" t="s">
        <v>0</v>
      </c>
      <c r="B2" t="s">
        <v>141</v>
      </c>
      <c r="C2">
        <f>MATCH(Events!B2,'Medal Count'!C:C,0)</f>
        <v>3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">
      <c r="A3" s="1" t="s">
        <v>1</v>
      </c>
      <c r="B3" t="s">
        <v>142</v>
      </c>
      <c r="C3">
        <f>MATCH(Events!B3,'Medal Count'!C:C,0)</f>
        <v>4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">
      <c r="A4" s="1" t="s">
        <v>2</v>
      </c>
      <c r="B4" t="s">
        <v>143</v>
      </c>
      <c r="C4">
        <f>MATCH(Events!B4,'Medal Count'!C:C,0)</f>
        <v>5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">
      <c r="A5" s="1" t="s">
        <v>3</v>
      </c>
      <c r="B5" t="s">
        <v>144</v>
      </c>
      <c r="C5">
        <f>MATCH(Events!B5,'Medal Count'!C:C,0)</f>
        <v>6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">
      <c r="A6" s="1" t="s">
        <v>4</v>
      </c>
      <c r="B6" t="s">
        <v>145</v>
      </c>
      <c r="C6">
        <f>MATCH(Events!B6,'Medal Count'!C:C,0)</f>
        <v>7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3</v>
      </c>
      <c r="J6" cm="1">
        <f t="array" ref="J6">INDEX('Medal Count'!E:E,Events!$C6)</f>
        <v>2</v>
      </c>
      <c r="K6" cm="1">
        <f t="array" ref="K6">INDEX('Medal Count'!F:F,Events!$C6)</f>
        <v>1</v>
      </c>
      <c r="L6">
        <f>SUM((I6*3)+(J6*2)+(K6*1))</f>
        <v>14</v>
      </c>
      <c r="X6">
        <v>1</v>
      </c>
    </row>
    <row r="7" spans="1:35" x14ac:dyDescent="0.2">
      <c r="A7" s="1" t="s">
        <v>5</v>
      </c>
      <c r="B7" t="s">
        <v>146</v>
      </c>
      <c r="C7">
        <f>MATCH(Events!B7,'Medal Count'!C:C,0)</f>
        <v>8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5</v>
      </c>
      <c r="J7" cm="1">
        <f t="array" ref="J7">INDEX('Medal Count'!E:E,Events!$C7)</f>
        <v>8</v>
      </c>
      <c r="K7" cm="1">
        <f t="array" ref="K7">INDEX('Medal Count'!F:F,Events!$C7)</f>
        <v>5</v>
      </c>
      <c r="L7">
        <f>SUM((I7*3)+(J7*2)+(K7*1))</f>
        <v>36</v>
      </c>
      <c r="U7">
        <v>1</v>
      </c>
      <c r="X7">
        <v>1</v>
      </c>
      <c r="AB7">
        <v>1</v>
      </c>
    </row>
    <row r="8" spans="1:35" x14ac:dyDescent="0.2">
      <c r="A8" s="1" t="s">
        <v>6</v>
      </c>
      <c r="B8" t="s">
        <v>147</v>
      </c>
      <c r="C8">
        <f>MATCH(Events!B8,'Medal Count'!C:C,0)</f>
        <v>9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">
      <c r="A9" s="1" t="s">
        <v>7</v>
      </c>
      <c r="B9" t="s">
        <v>148</v>
      </c>
      <c r="C9">
        <f>MATCH(Events!B9,'Medal Count'!C:C,0)</f>
        <v>10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1</v>
      </c>
      <c r="L9">
        <f>SUM((I9*3)+(J9*2)+(K9*1))</f>
        <v>1</v>
      </c>
      <c r="Q9">
        <v>1</v>
      </c>
      <c r="R9">
        <v>1</v>
      </c>
      <c r="X9">
        <v>1</v>
      </c>
    </row>
    <row r="10" spans="1:35" x14ac:dyDescent="0.2">
      <c r="A10" s="1" t="s">
        <v>8</v>
      </c>
      <c r="B10" t="s">
        <v>149</v>
      </c>
      <c r="C10">
        <f>MATCH(Events!B10,'Medal Count'!C:C,0)</f>
        <v>11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">
      <c r="A11" s="1" t="s">
        <v>9</v>
      </c>
      <c r="B11" t="s">
        <v>150</v>
      </c>
      <c r="C11">
        <f>MATCH(Events!B11,'Medal Count'!C:C,0)</f>
        <v>12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8.5" x14ac:dyDescent="0.2">
      <c r="A12" s="1" t="s">
        <v>10</v>
      </c>
      <c r="B12" t="s">
        <v>151</v>
      </c>
      <c r="C12">
        <f>MATCH(Events!B12,'Medal Count'!C:C,0)</f>
        <v>13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">
      <c r="A13" s="1" t="s">
        <v>11</v>
      </c>
      <c r="B13" t="s">
        <v>152</v>
      </c>
      <c r="C13">
        <f>MATCH(Events!B13,'Medal Count'!C:C,0)</f>
        <v>14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1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6</v>
      </c>
    </row>
    <row r="14" spans="1:35" x14ac:dyDescent="0.2">
      <c r="A14" s="1" t="s">
        <v>12</v>
      </c>
      <c r="B14" t="s">
        <v>153</v>
      </c>
      <c r="C14">
        <f>MATCH(Events!B14,'Medal Count'!C:C,0)</f>
        <v>15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2</v>
      </c>
      <c r="L14">
        <f t="shared" si="2"/>
        <v>4</v>
      </c>
    </row>
    <row r="15" spans="1:35" x14ac:dyDescent="0.2">
      <c r="A15" s="1" t="s">
        <v>13</v>
      </c>
      <c r="B15" t="s">
        <v>154</v>
      </c>
      <c r="C15">
        <f>MATCH(Events!B15,'Medal Count'!C:C,0)</f>
        <v>16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4</v>
      </c>
      <c r="J15" cm="1">
        <f t="array" ref="J15">INDEX('Medal Count'!E:E,Events!$C15)</f>
        <v>5</v>
      </c>
      <c r="K15" cm="1">
        <f t="array" ref="K15">INDEX('Medal Count'!F:F,Events!$C15)</f>
        <v>7</v>
      </c>
      <c r="L15">
        <f>SUM((I15*3)+(J15*2)+(K15*1))</f>
        <v>29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">
      <c r="A16" s="1" t="s">
        <v>14</v>
      </c>
      <c r="B16" t="s">
        <v>155</v>
      </c>
      <c r="C16">
        <f>MATCH(Events!B16,'Medal Count'!C:C,0)</f>
        <v>17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">
      <c r="A17" s="1" t="s">
        <v>15</v>
      </c>
      <c r="B17" t="s">
        <v>156</v>
      </c>
      <c r="C17">
        <f>MATCH(Events!B17,'Medal Count'!C:C,0)</f>
        <v>18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4</v>
      </c>
      <c r="J17" cm="1">
        <f t="array" ref="J17">INDEX('Medal Count'!E:E,Events!$C17)</f>
        <v>3</v>
      </c>
      <c r="K17" cm="1">
        <f t="array" ref="K17">INDEX('Medal Count'!F:F,Events!$C17)</f>
        <v>5</v>
      </c>
      <c r="L17">
        <f>SUM((I17*3)+(J17*2)+(K17*1))</f>
        <v>23</v>
      </c>
      <c r="Z17">
        <v>1</v>
      </c>
      <c r="AB17">
        <v>1</v>
      </c>
    </row>
    <row r="18" spans="1:34" x14ac:dyDescent="0.2">
      <c r="A18" s="1" t="s">
        <v>16</v>
      </c>
      <c r="B18" t="s">
        <v>158</v>
      </c>
      <c r="C18">
        <f>MATCH(Events!B18,'Medal Count'!C:C,0)</f>
        <v>20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">
      <c r="A19" s="1" t="s">
        <v>17</v>
      </c>
      <c r="B19" t="s">
        <v>159</v>
      </c>
      <c r="C19">
        <f>MATCH(Events!B19,'Medal Count'!C:C,0)</f>
        <v>21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">
      <c r="A20" s="1" t="s">
        <v>18</v>
      </c>
      <c r="B20" t="s">
        <v>160</v>
      </c>
      <c r="C20">
        <f>MATCH(Events!B20,'Medal Count'!C:C,0)</f>
        <v>22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ht="28.5" x14ac:dyDescent="0.2">
      <c r="A21" s="1" t="s">
        <v>19</v>
      </c>
      <c r="B21" t="s">
        <v>161</v>
      </c>
      <c r="C21">
        <f>MATCH(Events!B21,'Medal Count'!C:C,0)</f>
        <v>23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2</v>
      </c>
      <c r="J21" cm="1">
        <f t="array" ref="J21">INDEX('Medal Count'!E:E,Events!$C21)</f>
        <v>2</v>
      </c>
      <c r="K21" cm="1">
        <f t="array" ref="K21">INDEX('Medal Count'!F:F,Events!$C21)</f>
        <v>0</v>
      </c>
      <c r="L21">
        <f>SUM((I21*3)+(J21*2)+(K21*1))</f>
        <v>10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">
      <c r="A22" s="1" t="s">
        <v>20</v>
      </c>
      <c r="B22" t="s">
        <v>162</v>
      </c>
      <c r="C22">
        <f>MATCH(Events!B22,'Medal Count'!C:C,0)</f>
        <v>24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">
      <c r="A23" s="1" t="s">
        <v>21</v>
      </c>
      <c r="B23" t="s">
        <v>163</v>
      </c>
      <c r="C23">
        <f>MATCH(Events!B23,'Medal Count'!C:C,0)</f>
        <v>25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">
      <c r="A24" s="1" t="s">
        <v>22</v>
      </c>
      <c r="B24" t="s">
        <v>164</v>
      </c>
      <c r="C24">
        <f>MATCH(Events!B24,'Medal Count'!C:C,0)</f>
        <v>26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">
      <c r="A25" s="1" t="s">
        <v>23</v>
      </c>
      <c r="B25" t="s">
        <v>165</v>
      </c>
      <c r="C25">
        <f>MATCH(Events!B25,'Medal Count'!C:C,0)</f>
        <v>27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">
      <c r="A26" s="1" t="s">
        <v>24</v>
      </c>
      <c r="B26" t="s">
        <v>166</v>
      </c>
      <c r="C26">
        <f>MATCH(Events!B26,'Medal Count'!C:C,0)</f>
        <v>28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1</v>
      </c>
      <c r="K26" cm="1">
        <f t="array" ref="K26">INDEX('Medal Count'!F:F,Events!$C26)</f>
        <v>4</v>
      </c>
      <c r="L26">
        <f t="shared" si="5"/>
        <v>6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">
      <c r="A27" s="1" t="s">
        <v>25</v>
      </c>
      <c r="B27" t="s">
        <v>167</v>
      </c>
      <c r="C27">
        <f>MATCH(Events!B27,'Medal Count'!C:C,0)</f>
        <v>29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6</v>
      </c>
      <c r="J27" cm="1">
        <f t="array" ref="J27">INDEX('Medal Count'!E:E,Events!$C27)</f>
        <v>8</v>
      </c>
      <c r="K27" cm="1">
        <f t="array" ref="K27">INDEX('Medal Count'!F:F,Events!$C27)</f>
        <v>6</v>
      </c>
      <c r="L27">
        <f t="shared" si="5"/>
        <v>40</v>
      </c>
      <c r="N27">
        <v>1</v>
      </c>
      <c r="X27">
        <v>1</v>
      </c>
    </row>
    <row r="28" spans="1:34" x14ac:dyDescent="0.2">
      <c r="A28" s="1" t="s">
        <v>26</v>
      </c>
      <c r="B28" t="s">
        <v>168</v>
      </c>
      <c r="C28">
        <f>MATCH(Events!B28,'Medal Count'!C:C,0)</f>
        <v>30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1</v>
      </c>
      <c r="K28" cm="1">
        <f t="array" ref="K28">INDEX('Medal Count'!F:F,Events!$C28)</f>
        <v>0</v>
      </c>
      <c r="L28">
        <f>(I28*3*2)+(J28*2*2)+(K28*1*2)</f>
        <v>4</v>
      </c>
    </row>
    <row r="29" spans="1:34" x14ac:dyDescent="0.2">
      <c r="A29" s="1" t="s">
        <v>27</v>
      </c>
      <c r="B29" t="s">
        <v>169</v>
      </c>
      <c r="C29">
        <f>MATCH(Events!B29,'Medal Count'!C:C,0)</f>
        <v>31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6</v>
      </c>
      <c r="J29" cm="1">
        <f t="array" ref="J29">INDEX('Medal Count'!E:E,Events!$C29)</f>
        <v>8</v>
      </c>
      <c r="K29" cm="1">
        <f t="array" ref="K29">INDEX('Medal Count'!F:F,Events!$C29)</f>
        <v>8</v>
      </c>
      <c r="L29">
        <f t="shared" ref="L29:L30" si="6">SUM((I29*3)+(J29*2)+(K29*1))</f>
        <v>42</v>
      </c>
      <c r="M29">
        <v>1</v>
      </c>
      <c r="Z29">
        <v>1</v>
      </c>
      <c r="AA29">
        <v>1</v>
      </c>
      <c r="AC29">
        <v>1</v>
      </c>
    </row>
    <row r="30" spans="1:34" x14ac:dyDescent="0.2">
      <c r="A30" s="1" t="s">
        <v>28</v>
      </c>
      <c r="B30" t="s">
        <v>170</v>
      </c>
      <c r="C30">
        <f>MATCH(Events!B30,'Medal Count'!C:C,0)</f>
        <v>32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3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9</v>
      </c>
      <c r="AH30">
        <v>1</v>
      </c>
    </row>
    <row r="31" spans="1:34" x14ac:dyDescent="0.2">
      <c r="A31" s="1" t="s">
        <v>29</v>
      </c>
      <c r="B31" t="s">
        <v>171</v>
      </c>
      <c r="C31">
        <f>MATCH(Events!B31,'Medal Count'!C:C,0)</f>
        <v>33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">
      <c r="A32" s="1" t="s">
        <v>30</v>
      </c>
      <c r="B32" t="s">
        <v>172</v>
      </c>
      <c r="C32">
        <f>MATCH(Events!B32,'Medal Count'!C:C,0)</f>
        <v>34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">
      <c r="A33" s="1" t="s">
        <v>31</v>
      </c>
      <c r="B33" t="s">
        <v>173</v>
      </c>
      <c r="C33">
        <f>MATCH(Events!B33,'Medal Count'!C:C,0)</f>
        <v>35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">
      <c r="A34" s="1" t="s">
        <v>32</v>
      </c>
      <c r="B34" t="s">
        <v>174</v>
      </c>
      <c r="C34">
        <f>MATCH(Events!B34,'Medal Count'!C:C,0)</f>
        <v>36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">
      <c r="A35" s="1" t="s">
        <v>33</v>
      </c>
      <c r="B35" t="s">
        <v>175</v>
      </c>
      <c r="C35">
        <f>MATCH(Events!B35,'Medal Count'!C:C,0)</f>
        <v>37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">
      <c r="A36" s="1" t="s">
        <v>34</v>
      </c>
      <c r="B36" t="s">
        <v>176</v>
      </c>
      <c r="C36">
        <f>MATCH(Events!B36,'Medal Count'!C:C,0)</f>
        <v>38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">
      <c r="A37" s="1" t="s">
        <v>35</v>
      </c>
      <c r="B37" t="s">
        <v>177</v>
      </c>
      <c r="C37">
        <f>MATCH(Events!B37,'Medal Count'!C:C,0)</f>
        <v>39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8.5" x14ac:dyDescent="0.2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1</v>
      </c>
      <c r="K38" cm="1">
        <f t="array" ref="K38">INDEX('Medal Count'!F:F,Events!$C38)</f>
        <v>0</v>
      </c>
      <c r="L38">
        <f t="shared" si="8"/>
        <v>4</v>
      </c>
      <c r="N38">
        <v>1</v>
      </c>
      <c r="Q38">
        <v>1</v>
      </c>
    </row>
    <row r="39" spans="1:35" x14ac:dyDescent="0.2">
      <c r="A39" s="1" t="s">
        <v>37</v>
      </c>
      <c r="B39" t="s">
        <v>178</v>
      </c>
      <c r="C39">
        <f>MATCH(Events!B39,'Medal Count'!C:C,0)</f>
        <v>40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">
      <c r="A40" s="1" t="s">
        <v>38</v>
      </c>
      <c r="B40" t="s">
        <v>179</v>
      </c>
      <c r="C40">
        <f>MATCH(Events!B40,'Medal Count'!C:C,0)</f>
        <v>41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">
      <c r="A41" s="1" t="s">
        <v>39</v>
      </c>
      <c r="B41" t="s">
        <v>180</v>
      </c>
      <c r="C41">
        <f>MATCH(Events!B41,'Medal Count'!C:C,0)</f>
        <v>42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">
      <c r="A42" s="1" t="s">
        <v>40</v>
      </c>
      <c r="B42" t="s">
        <v>139</v>
      </c>
      <c r="C42">
        <f>MATCH(Events!B42,'Medal Count'!C:C,0)</f>
        <v>43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9</v>
      </c>
      <c r="J42" cm="1">
        <f t="array" ref="J42">INDEX('Medal Count'!E:E,Events!$C42)</f>
        <v>5</v>
      </c>
      <c r="K42" cm="1">
        <f t="array" ref="K42">INDEX('Medal Count'!F:F,Events!$C42)</f>
        <v>12</v>
      </c>
      <c r="L42">
        <f>SUM((I42*3)+(J42*2)+(K42*1))</f>
        <v>49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">
      <c r="A43" s="1" t="s">
        <v>41</v>
      </c>
      <c r="B43" t="s">
        <v>181</v>
      </c>
      <c r="C43">
        <f>MATCH(Events!B43,'Medal Count'!C:C,0)</f>
        <v>44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">
      <c r="A44" s="1" t="s">
        <v>42</v>
      </c>
      <c r="B44" t="s">
        <v>182</v>
      </c>
      <c r="C44">
        <f>MATCH(Events!B44,'Medal Count'!C:C,0)</f>
        <v>45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5</v>
      </c>
      <c r="J44" cm="1">
        <f t="array" ref="J44">INDEX('Medal Count'!E:E,Events!$C44)</f>
        <v>7</v>
      </c>
      <c r="K44" cm="1">
        <f t="array" ref="K44">INDEX('Medal Count'!F:F,Events!$C44)</f>
        <v>12</v>
      </c>
      <c r="L44">
        <f>SUM((I44*3)+(J44*2)+(K44*1))</f>
        <v>41</v>
      </c>
      <c r="AI44">
        <v>1</v>
      </c>
    </row>
    <row r="45" spans="1:35" x14ac:dyDescent="0.2">
      <c r="A45" s="1" t="s">
        <v>43</v>
      </c>
      <c r="B45" t="s">
        <v>183</v>
      </c>
      <c r="C45">
        <f>MATCH(Events!B45,'Medal Count'!C:C,0)</f>
        <v>46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1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6</v>
      </c>
    </row>
    <row r="46" spans="1:35" x14ac:dyDescent="0.2">
      <c r="A46" s="1" t="s">
        <v>44</v>
      </c>
      <c r="B46" t="s">
        <v>184</v>
      </c>
      <c r="C46">
        <f>MATCH(Events!B46,'Medal Count'!C:C,0)</f>
        <v>47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">
      <c r="A47" s="1" t="s">
        <v>45</v>
      </c>
      <c r="B47" t="s">
        <v>185</v>
      </c>
      <c r="C47">
        <f>MATCH(Events!B47,'Medal Count'!C:C,0)</f>
        <v>48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">
      <c r="A48" s="1" t="s">
        <v>46</v>
      </c>
      <c r="B48" t="s">
        <v>186</v>
      </c>
      <c r="C48">
        <f>MATCH(Events!B48,'Medal Count'!C:C,0)</f>
        <v>49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">
      <c r="A49" s="1" t="s">
        <v>47</v>
      </c>
      <c r="B49" t="s">
        <v>187</v>
      </c>
      <c r="C49">
        <f>MATCH(Events!B49,'Medal Count'!C:C,0)</f>
        <v>50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1</v>
      </c>
      <c r="K49" cm="1">
        <f t="array" ref="K49">INDEX('Medal Count'!F:F,Events!$C49)</f>
        <v>1</v>
      </c>
      <c r="L49">
        <f>SUM((I49*3)+(J49*2)+(K49*1))</f>
        <v>3</v>
      </c>
      <c r="T49">
        <v>1</v>
      </c>
      <c r="V49">
        <v>1</v>
      </c>
      <c r="Y49">
        <v>1</v>
      </c>
      <c r="AE49">
        <v>1</v>
      </c>
    </row>
    <row r="50" spans="1:35" x14ac:dyDescent="0.2">
      <c r="A50" s="1" t="s">
        <v>48</v>
      </c>
      <c r="B50" t="s">
        <v>188</v>
      </c>
      <c r="C50">
        <f>MATCH(Events!B50,'Medal Count'!C:C,0)</f>
        <v>51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">
      <c r="A51" s="1" t="s">
        <v>49</v>
      </c>
      <c r="B51" t="s">
        <v>189</v>
      </c>
      <c r="C51">
        <f>MATCH(Events!B51,'Medal Count'!C:C,0)</f>
        <v>52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">
      <c r="A52" s="1" t="s">
        <v>50</v>
      </c>
      <c r="B52" t="s">
        <v>190</v>
      </c>
      <c r="C52">
        <f>MATCH(Events!B52,'Medal Count'!C:C,0)</f>
        <v>53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">
      <c r="A53" s="1" t="s">
        <v>51</v>
      </c>
      <c r="B53" t="s">
        <v>191</v>
      </c>
      <c r="C53">
        <f>MATCH(Events!B53,'Medal Count'!C:C,0)</f>
        <v>54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">
      <c r="A54" s="1" t="s">
        <v>52</v>
      </c>
      <c r="B54" t="s">
        <v>192</v>
      </c>
      <c r="C54">
        <f>MATCH(Events!B54,'Medal Count'!C:C,0)</f>
        <v>55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">
      <c r="A55" s="1" t="s">
        <v>53</v>
      </c>
      <c r="B55" t="s">
        <v>193</v>
      </c>
      <c r="C55">
        <f>MATCH(Events!B55,'Medal Count'!C:C,0)</f>
        <v>56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">
      <c r="A56" s="1" t="s">
        <v>54</v>
      </c>
      <c r="B56" t="s">
        <v>194</v>
      </c>
      <c r="C56">
        <f>MATCH(Events!B56,'Medal Count'!C:C,0)</f>
        <v>57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">
      <c r="A57" s="1" t="s">
        <v>55</v>
      </c>
      <c r="B57" t="s">
        <v>195</v>
      </c>
      <c r="C57">
        <f>MATCH(Events!B57,'Medal Count'!C:C,0)</f>
        <v>58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">
      <c r="A58" s="1" t="s">
        <v>56</v>
      </c>
      <c r="B58" t="s">
        <v>196</v>
      </c>
      <c r="C58">
        <f>MATCH(Events!B58,'Medal Count'!C:C,0)</f>
        <v>59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">
      <c r="A59" s="1" t="s">
        <v>57</v>
      </c>
      <c r="B59" t="s">
        <v>197</v>
      </c>
      <c r="C59">
        <f>MATCH(Events!B59,'Medal Count'!C:C,0)</f>
        <v>60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">
      <c r="A60" s="1" t="s">
        <v>58</v>
      </c>
      <c r="B60" t="s">
        <v>198</v>
      </c>
      <c r="C60">
        <f>MATCH(Events!B60,'Medal Count'!C:C,0)</f>
        <v>61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">
      <c r="A61" s="1" t="s">
        <v>59</v>
      </c>
      <c r="B61" t="s">
        <v>199</v>
      </c>
      <c r="C61">
        <f>MATCH(Events!B61,'Medal Count'!C:C,0)</f>
        <v>62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">
      <c r="A62" s="1" t="s">
        <v>60</v>
      </c>
      <c r="B62" t="s">
        <v>200</v>
      </c>
      <c r="C62">
        <f>MATCH(Events!B62,'Medal Count'!C:C,0)</f>
        <v>63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">
      <c r="A63" s="1" t="s">
        <v>61</v>
      </c>
      <c r="B63" t="s">
        <v>201</v>
      </c>
      <c r="C63">
        <f>MATCH(Events!B63,'Medal Count'!C:C,0)</f>
        <v>64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7</v>
      </c>
      <c r="J63" cm="1">
        <f t="array" ref="J63">INDEX('Medal Count'!E:E,Events!$C63)</f>
        <v>7</v>
      </c>
      <c r="K63" cm="1">
        <f t="array" ref="K63">INDEX('Medal Count'!F:F,Events!$C63)</f>
        <v>3</v>
      </c>
      <c r="L63">
        <f t="shared" ref="L63:L64" si="11">SUM((I63*3)+(J63*2)+(K63*1))</f>
        <v>38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">
      <c r="A64" s="1" t="s">
        <v>62</v>
      </c>
      <c r="B64" t="s">
        <v>202</v>
      </c>
      <c r="C64">
        <f>MATCH(Events!B64,'Medal Count'!C:C,0)</f>
        <v>65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2</v>
      </c>
      <c r="K64" cm="1">
        <f t="array" ref="K64">INDEX('Medal Count'!F:F,Events!$C64)</f>
        <v>1</v>
      </c>
      <c r="L64">
        <f t="shared" si="11"/>
        <v>5</v>
      </c>
      <c r="U64">
        <v>1</v>
      </c>
    </row>
    <row r="65" spans="1:33" x14ac:dyDescent="0.2">
      <c r="A65" s="1" t="s">
        <v>63</v>
      </c>
      <c r="B65" t="s">
        <v>203</v>
      </c>
      <c r="C65">
        <f>MATCH(Events!B65,'Medal Count'!C:C,0)</f>
        <v>66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">
      <c r="A66" s="1" t="s">
        <v>64</v>
      </c>
      <c r="B66" t="s">
        <v>204</v>
      </c>
      <c r="C66">
        <f>MATCH(Events!B66,'Medal Count'!C:C,0)</f>
        <v>67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">
      <c r="A67" s="1" t="s">
        <v>65</v>
      </c>
      <c r="B67" t="s">
        <v>140</v>
      </c>
      <c r="C67">
        <f>MATCH(Events!B67,'Medal Count'!C:C,0)</f>
        <v>68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17</v>
      </c>
      <c r="J67" cm="1">
        <f t="array" ref="J67">INDEX('Medal Count'!E:E,Events!$C67)</f>
        <v>10</v>
      </c>
      <c r="K67" cm="1">
        <f t="array" ref="K67">INDEX('Medal Count'!F:F,Events!$C67)</f>
        <v>10</v>
      </c>
      <c r="L67">
        <f>SUM((I67*3)+(J67*2)+(K67*1))</f>
        <v>81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">
      <c r="A68" s="1" t="s">
        <v>66</v>
      </c>
      <c r="B68" t="s">
        <v>205</v>
      </c>
      <c r="C68">
        <f>MATCH(Events!B68,'Medal Count'!C:C,0)</f>
        <v>69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">
      <c r="A69" s="1" t="s">
        <v>67</v>
      </c>
      <c r="B69" t="s">
        <v>206</v>
      </c>
      <c r="C69">
        <f>MATCH(Events!B69,'Medal Count'!C:C,0)</f>
        <v>70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">
      <c r="A70" s="1" t="s">
        <v>68</v>
      </c>
      <c r="B70" t="s">
        <v>207</v>
      </c>
      <c r="C70">
        <f>MATCH(Events!B70,'Medal Count'!C:C,0)</f>
        <v>71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3</v>
      </c>
      <c r="K70" cm="1">
        <f t="array" ref="K70">INDEX('Medal Count'!F:F,Events!$C70)</f>
        <v>1</v>
      </c>
      <c r="L70">
        <f>SUM((I70*3)+(J70*2)+(K70*1))</f>
        <v>7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">
      <c r="A71" s="1" t="s">
        <v>69</v>
      </c>
      <c r="B71" t="s">
        <v>208</v>
      </c>
      <c r="C71">
        <f>MATCH(Events!B71,'Medal Count'!C:C,0)</f>
        <v>72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">
      <c r="A72" s="1" t="s">
        <v>70</v>
      </c>
      <c r="B72" t="s">
        <v>210</v>
      </c>
      <c r="C72">
        <f>MATCH(Events!B72,'Medal Count'!C:C,0)</f>
        <v>74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">
      <c r="A73" s="1" t="s">
        <v>71</v>
      </c>
      <c r="B73" t="s">
        <v>211</v>
      </c>
      <c r="C73">
        <f>MATCH(Events!B73,'Medal Count'!C:C,0)</f>
        <v>75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">
      <c r="A74" s="1" t="s">
        <v>72</v>
      </c>
      <c r="B74" t="s">
        <v>212</v>
      </c>
      <c r="C74">
        <f>MATCH(Events!B74,'Medal Count'!C:C,0)</f>
        <v>76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">
      <c r="A75" s="1" t="s">
        <v>73</v>
      </c>
      <c r="B75" t="s">
        <v>213</v>
      </c>
      <c r="C75">
        <f>MATCH(Events!B75,'Medal Count'!C:C,0)</f>
        <v>77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">
      <c r="A76" s="1" t="s">
        <v>74</v>
      </c>
      <c r="B76" t="s">
        <v>214</v>
      </c>
      <c r="C76">
        <f>MATCH(Events!B76,'Medal Count'!C:C,0)</f>
        <v>78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">
      <c r="A77" s="1" t="s">
        <v>75</v>
      </c>
      <c r="B77" t="s">
        <v>215</v>
      </c>
      <c r="C77">
        <f>MATCH(Events!B77,'Medal Count'!C:C,0)</f>
        <v>79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">
      <c r="A78" s="1" t="s">
        <v>76</v>
      </c>
      <c r="B78" t="s">
        <v>216</v>
      </c>
      <c r="C78">
        <f>MATCH(Events!B78,'Medal Count'!C:C,0)</f>
        <v>80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2</v>
      </c>
      <c r="J78" cm="1">
        <f t="array" ref="J78">INDEX('Medal Count'!E:E,Events!$C78)</f>
        <v>1</v>
      </c>
      <c r="K78" cm="1">
        <f t="array" ref="K78">INDEX('Medal Count'!F:F,Events!$C78)</f>
        <v>1</v>
      </c>
      <c r="L78">
        <f t="shared" si="16"/>
        <v>9</v>
      </c>
      <c r="P78">
        <v>1</v>
      </c>
      <c r="Q78">
        <v>1</v>
      </c>
    </row>
    <row r="79" spans="1:33" x14ac:dyDescent="0.2">
      <c r="A79" s="1" t="s">
        <v>77</v>
      </c>
      <c r="B79" t="s">
        <v>217</v>
      </c>
      <c r="C79">
        <f>MATCH(Events!B79,'Medal Count'!C:C,0)</f>
        <v>81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">
      <c r="A80" s="1" t="s">
        <v>78</v>
      </c>
      <c r="B80" t="s">
        <v>218</v>
      </c>
      <c r="C80">
        <f>MATCH(Events!B80,'Medal Count'!C:C,0)</f>
        <v>82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2</v>
      </c>
      <c r="J80" cm="1">
        <f t="array" ref="J80">INDEX('Medal Count'!E:E,Events!$C80)</f>
        <v>2</v>
      </c>
      <c r="K80" cm="1">
        <f t="array" ref="K80">INDEX('Medal Count'!F:F,Events!$C80)</f>
        <v>3</v>
      </c>
      <c r="L80">
        <f t="shared" ref="L80:L83" si="17">SUM((I80*3)+(J80*2)+(K80*1))</f>
        <v>13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">
      <c r="A81" s="1" t="s">
        <v>79</v>
      </c>
      <c r="B81" t="s">
        <v>219</v>
      </c>
      <c r="C81">
        <f>MATCH(Events!B81,'Medal Count'!C:C,0)</f>
        <v>83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1</v>
      </c>
      <c r="J81" cm="1">
        <f t="array" ref="J81">INDEX('Medal Count'!E:E,Events!$C81)</f>
        <v>0</v>
      </c>
      <c r="K81" cm="1">
        <f t="array" ref="K81">INDEX('Medal Count'!F:F,Events!$C81)</f>
        <v>1</v>
      </c>
      <c r="L81">
        <f t="shared" si="17"/>
        <v>4</v>
      </c>
      <c r="AB81">
        <v>1</v>
      </c>
    </row>
    <row r="82" spans="1:35" x14ac:dyDescent="0.2">
      <c r="A82" s="1" t="s">
        <v>80</v>
      </c>
      <c r="B82" t="s">
        <v>137</v>
      </c>
      <c r="C82">
        <f>MATCH(Events!B82,'Medal Count'!C:C,0)</f>
        <v>84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6</v>
      </c>
      <c r="J82" cm="1">
        <f t="array" ref="J82">INDEX('Medal Count'!E:E,Events!$C82)</f>
        <v>6</v>
      </c>
      <c r="K82" cm="1">
        <f t="array" ref="K82">INDEX('Medal Count'!F:F,Events!$C82)</f>
        <v>4</v>
      </c>
      <c r="L82">
        <f t="shared" si="17"/>
        <v>34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">
      <c r="A83" s="1" t="s">
        <v>81</v>
      </c>
      <c r="B83" t="s">
        <v>138</v>
      </c>
      <c r="C83">
        <f>MATCH(Events!B83,'Medal Count'!C:C,0)</f>
        <v>85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6</v>
      </c>
      <c r="J83" cm="1">
        <f t="array" ref="J83">INDEX('Medal Count'!E:E,Events!$C83)</f>
        <v>6</v>
      </c>
      <c r="K83" cm="1">
        <f t="array" ref="K83">INDEX('Medal Count'!F:F,Events!$C83)</f>
        <v>4</v>
      </c>
      <c r="L83">
        <f t="shared" si="17"/>
        <v>34</v>
      </c>
      <c r="W83">
        <v>1</v>
      </c>
      <c r="AE83">
        <v>1</v>
      </c>
    </row>
    <row r="84" spans="1:35" x14ac:dyDescent="0.2">
      <c r="A84" s="1" t="s">
        <v>82</v>
      </c>
      <c r="B84" t="s">
        <v>157</v>
      </c>
      <c r="C84">
        <f>MATCH(Events!B84,'Medal Count'!C:C,0)</f>
        <v>19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">
      <c r="A85" s="1" t="s">
        <v>83</v>
      </c>
      <c r="B85" t="s">
        <v>220</v>
      </c>
      <c r="C85">
        <f>MATCH(Events!B85,'Medal Count'!C:C,0)</f>
        <v>86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8.5" x14ac:dyDescent="0.2">
      <c r="A86" s="1" t="s">
        <v>84</v>
      </c>
      <c r="B86" t="s">
        <v>221</v>
      </c>
      <c r="C86">
        <f>MATCH(Events!B86,'Medal Count'!C:C,0)</f>
        <v>87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">
      <c r="A87" s="1" t="s">
        <v>85</v>
      </c>
      <c r="B87" t="s">
        <v>222</v>
      </c>
      <c r="C87">
        <f>MATCH(Events!B87,'Medal Count'!C:C,0)</f>
        <v>88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">
      <c r="A88" s="1" t="s">
        <v>86</v>
      </c>
      <c r="B88" t="s">
        <v>223</v>
      </c>
      <c r="C88">
        <f>MATCH(Events!B88,'Medal Count'!C:C,0)</f>
        <v>89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8.5" x14ac:dyDescent="0.2">
      <c r="A89" s="1" t="s">
        <v>87</v>
      </c>
      <c r="B89" t="s">
        <v>224</v>
      </c>
      <c r="C89">
        <f>MATCH(Events!B89,'Medal Count'!C:C,0)</f>
        <v>90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">
      <c r="A90" s="1" t="s">
        <v>88</v>
      </c>
      <c r="B90" t="s">
        <v>225</v>
      </c>
      <c r="C90">
        <f>MATCH(Events!B90,'Medal Count'!C:C,0)</f>
        <v>91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9</v>
      </c>
      <c r="J90" cm="1">
        <f t="array" ref="J90">INDEX('Medal Count'!E:E,Events!$C90)</f>
        <v>12</v>
      </c>
      <c r="K90" cm="1">
        <f t="array" ref="K90">INDEX('Medal Count'!F:F,Events!$C90)</f>
        <v>6</v>
      </c>
      <c r="L90">
        <f>SUM((I90*3)+(J90*2)+(K90*1))</f>
        <v>57</v>
      </c>
      <c r="V90">
        <v>1</v>
      </c>
      <c r="Y90">
        <v>1</v>
      </c>
      <c r="AD90">
        <v>1</v>
      </c>
      <c r="AH90">
        <v>1</v>
      </c>
    </row>
    <row r="91" spans="1:35" x14ac:dyDescent="0.2">
      <c r="A91" s="1" t="s">
        <v>89</v>
      </c>
      <c r="B91" t="s">
        <v>226</v>
      </c>
      <c r="C91">
        <f>MATCH(Events!B91,'Medal Count'!C:C,0)</f>
        <v>92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">
      <c r="A92" s="1" t="s">
        <v>90</v>
      </c>
      <c r="B92" t="s">
        <v>227</v>
      </c>
      <c r="C92">
        <f>MATCH(Events!B92,'Medal Count'!C:C,0)</f>
        <v>93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">
      <c r="A93" s="1" t="s">
        <v>91</v>
      </c>
      <c r="B93" t="s">
        <v>228</v>
      </c>
      <c r="C93">
        <f>MATCH(Events!B93,'Medal Count'!C:C,0)</f>
        <v>94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">
      <c r="A95" t="s">
        <v>101</v>
      </c>
      <c r="D95" s="4"/>
      <c r="E95" s="6"/>
      <c r="F95" s="2"/>
      <c r="G95" s="8"/>
      <c r="M95">
        <f t="shared" ref="M95:AI95" si="21">SUMIF(M$2:M$93,1,$L$2:$L$93)</f>
        <v>80</v>
      </c>
      <c r="N95">
        <f t="shared" si="21"/>
        <v>131</v>
      </c>
      <c r="O95">
        <f t="shared" si="21"/>
        <v>104</v>
      </c>
      <c r="P95">
        <f t="shared" si="21"/>
        <v>86</v>
      </c>
      <c r="Q95">
        <f t="shared" si="21"/>
        <v>102</v>
      </c>
      <c r="R95">
        <f t="shared" si="21"/>
        <v>95</v>
      </c>
      <c r="S95">
        <f t="shared" si="21"/>
        <v>94</v>
      </c>
      <c r="T95">
        <f t="shared" si="21"/>
        <v>76</v>
      </c>
      <c r="U95">
        <f t="shared" si="21"/>
        <v>113</v>
      </c>
      <c r="V95">
        <f t="shared" si="21"/>
        <v>96</v>
      </c>
      <c r="W95">
        <f t="shared" si="21"/>
        <v>121</v>
      </c>
      <c r="X95">
        <f t="shared" si="21"/>
        <v>97</v>
      </c>
      <c r="Y95">
        <f t="shared" si="21"/>
        <v>125</v>
      </c>
      <c r="Z95">
        <f t="shared" si="21"/>
        <v>72</v>
      </c>
      <c r="AA95">
        <f t="shared" si="21"/>
        <v>76</v>
      </c>
      <c r="AB95">
        <f t="shared" si="21"/>
        <v>86</v>
      </c>
      <c r="AC95">
        <f t="shared" si="21"/>
        <v>76</v>
      </c>
      <c r="AD95">
        <f t="shared" si="21"/>
        <v>96</v>
      </c>
      <c r="AE95">
        <f t="shared" si="21"/>
        <v>78</v>
      </c>
      <c r="AF95">
        <f t="shared" si="21"/>
        <v>94</v>
      </c>
      <c r="AG95">
        <f t="shared" si="21"/>
        <v>76</v>
      </c>
      <c r="AH95">
        <f t="shared" si="21"/>
        <v>110</v>
      </c>
      <c r="AI95">
        <f t="shared" si="21"/>
        <v>128</v>
      </c>
    </row>
  </sheetData>
  <autoFilter ref="A1:AI95" xr:uid="{501A6FAC-27B6-471F-BECD-93C99C8065B1}"/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AJ98"/>
  <sheetViews>
    <sheetView workbookViewId="0">
      <selection activeCell="A3" sqref="A3"/>
    </sheetView>
  </sheetViews>
  <sheetFormatPr defaultRowHeight="14.25" x14ac:dyDescent="0.2"/>
  <cols>
    <col min="1" max="1" width="9" customWidth="1"/>
    <col min="2" max="2" width="6" customWidth="1"/>
    <col min="3" max="3" width="27.375" customWidth="1"/>
    <col min="4" max="4" width="10.875" bestFit="1" customWidth="1"/>
    <col min="5" max="5" width="11.625" bestFit="1" customWidth="1"/>
    <col min="6" max="6" width="13.125" bestFit="1" customWidth="1"/>
    <col min="7" max="7" width="11.125" bestFit="1" customWidth="1"/>
    <col min="8" max="8" width="8.5" bestFit="1" customWidth="1"/>
    <col min="9" max="9" width="11.125" bestFit="1" customWidth="1"/>
  </cols>
  <sheetData>
    <row r="1" spans="1:36" x14ac:dyDescent="0.2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36" x14ac:dyDescent="0.2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spans="1:36" ht="15.75" thickBot="1" x14ac:dyDescent="0.25">
      <c r="B3" s="11" t="s">
        <v>265</v>
      </c>
      <c r="C3" s="26" t="s">
        <v>141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AC3" s="13"/>
      <c r="AD3" s="14"/>
      <c r="AE3" s="13"/>
      <c r="AF3" s="13"/>
      <c r="AG3" s="13"/>
      <c r="AH3" s="13"/>
      <c r="AI3" s="13"/>
      <c r="AJ3" s="13"/>
    </row>
    <row r="4" spans="1:36" ht="15.75" thickBot="1" x14ac:dyDescent="0.25">
      <c r="A4" s="21"/>
      <c r="B4" s="11" t="s">
        <v>265</v>
      </c>
      <c r="C4" s="26" t="s">
        <v>142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M4" s="15"/>
      <c r="N4" s="13"/>
      <c r="O4" s="14"/>
      <c r="P4" s="13"/>
      <c r="Q4" s="13"/>
      <c r="R4" s="13"/>
      <c r="S4" s="13"/>
      <c r="T4" s="13"/>
      <c r="U4" s="13"/>
    </row>
    <row r="5" spans="1:36" ht="15.75" thickBot="1" x14ac:dyDescent="0.25">
      <c r="A5" s="21"/>
      <c r="B5" s="11" t="s">
        <v>265</v>
      </c>
      <c r="C5" s="26" t="s">
        <v>143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M5" s="15"/>
      <c r="N5" s="13"/>
      <c r="O5" s="14"/>
      <c r="P5" s="13"/>
      <c r="Q5" s="13"/>
      <c r="R5" s="13"/>
      <c r="S5" s="13"/>
      <c r="T5" s="13"/>
      <c r="U5" s="13"/>
    </row>
    <row r="6" spans="1:36" ht="15.75" thickBot="1" x14ac:dyDescent="0.25">
      <c r="A6" s="21"/>
      <c r="B6" s="11" t="s">
        <v>265</v>
      </c>
      <c r="C6" s="26" t="s">
        <v>144</v>
      </c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">
        <v>0</v>
      </c>
      <c r="M6" s="15"/>
      <c r="N6" s="13"/>
      <c r="O6" s="14"/>
      <c r="P6" s="13"/>
      <c r="Q6" s="13"/>
      <c r="R6" s="13"/>
      <c r="S6" s="13"/>
      <c r="T6" s="13"/>
      <c r="U6" s="13"/>
    </row>
    <row r="7" spans="1:36" ht="15.75" thickBot="1" x14ac:dyDescent="0.25">
      <c r="A7" s="21"/>
      <c r="B7" s="11">
        <v>13</v>
      </c>
      <c r="C7" s="26" t="s">
        <v>145</v>
      </c>
      <c r="D7" s="11">
        <v>3</v>
      </c>
      <c r="E7" s="11">
        <v>2</v>
      </c>
      <c r="F7" s="11">
        <v>1</v>
      </c>
      <c r="G7" s="11">
        <v>6</v>
      </c>
      <c r="H7" s="11">
        <v>0.22</v>
      </c>
      <c r="I7" s="11">
        <v>0.32</v>
      </c>
      <c r="M7" s="15"/>
      <c r="N7" s="13"/>
      <c r="O7" s="14"/>
      <c r="P7" s="13"/>
      <c r="Q7" s="13"/>
      <c r="R7" s="13"/>
      <c r="S7" s="13"/>
      <c r="T7" s="13"/>
      <c r="U7" s="13"/>
    </row>
    <row r="8" spans="1:36" ht="15.75" thickBot="1" x14ac:dyDescent="0.25">
      <c r="A8" s="21"/>
      <c r="B8" s="11">
        <v>9</v>
      </c>
      <c r="C8" s="26" t="s">
        <v>146</v>
      </c>
      <c r="D8" s="11">
        <v>5</v>
      </c>
      <c r="E8" s="11">
        <v>8</v>
      </c>
      <c r="F8" s="11">
        <v>5</v>
      </c>
      <c r="G8" s="11">
        <v>18</v>
      </c>
      <c r="H8" s="11">
        <v>1.97</v>
      </c>
      <c r="I8" s="11">
        <v>2.69</v>
      </c>
      <c r="M8" s="15"/>
      <c r="N8" s="13"/>
      <c r="O8" s="14"/>
      <c r="P8" s="13"/>
      <c r="Q8" s="13"/>
      <c r="R8" s="13"/>
      <c r="S8" s="13"/>
      <c r="T8" s="13"/>
      <c r="U8" s="13"/>
    </row>
    <row r="9" spans="1:36" ht="15.75" thickBot="1" x14ac:dyDescent="0.25">
      <c r="A9" s="21"/>
      <c r="B9" s="11" t="s">
        <v>265</v>
      </c>
      <c r="C9" s="26" t="s">
        <v>147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M9" s="15"/>
      <c r="N9" s="13"/>
      <c r="O9" s="14"/>
      <c r="P9" s="13"/>
      <c r="Q9" s="13"/>
      <c r="R9" s="13"/>
      <c r="S9" s="13"/>
      <c r="T9" s="13"/>
      <c r="U9" s="13"/>
    </row>
    <row r="10" spans="1:36" ht="15.75" thickBot="1" x14ac:dyDescent="0.25">
      <c r="A10" s="21"/>
      <c r="B10" s="11">
        <v>27</v>
      </c>
      <c r="C10" s="26" t="s">
        <v>148</v>
      </c>
      <c r="D10" s="11">
        <v>0</v>
      </c>
      <c r="E10" s="11">
        <v>0</v>
      </c>
      <c r="F10" s="11">
        <v>1</v>
      </c>
      <c r="G10" s="11">
        <v>1</v>
      </c>
      <c r="H10" s="11">
        <v>0.08</v>
      </c>
      <c r="I10" s="11">
        <v>0.11</v>
      </c>
      <c r="M10" s="15"/>
      <c r="N10" s="13"/>
      <c r="O10" s="14"/>
      <c r="P10" s="13"/>
      <c r="Q10" s="13"/>
      <c r="R10" s="13"/>
      <c r="S10" s="13"/>
      <c r="T10" s="13"/>
      <c r="U10" s="13"/>
    </row>
    <row r="11" spans="1:36" ht="15.75" thickBot="1" x14ac:dyDescent="0.25">
      <c r="A11" s="21"/>
      <c r="B11" s="11" t="s">
        <v>265</v>
      </c>
      <c r="C11" s="26" t="s">
        <v>149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M11" s="15"/>
      <c r="N11" s="13"/>
      <c r="O11" s="14"/>
      <c r="P11" s="13"/>
      <c r="Q11" s="13"/>
      <c r="R11" s="13"/>
      <c r="S11" s="13"/>
      <c r="T11" s="13"/>
      <c r="U11" s="13"/>
    </row>
    <row r="12" spans="1:36" ht="15.75" thickBot="1" x14ac:dyDescent="0.25">
      <c r="A12" s="21"/>
      <c r="B12" s="11" t="s">
        <v>265</v>
      </c>
      <c r="C12" s="26" t="s">
        <v>150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M12" s="15"/>
      <c r="N12" s="13"/>
      <c r="O12" s="14"/>
      <c r="P12" s="13"/>
      <c r="Q12" s="13"/>
      <c r="R12" s="13"/>
      <c r="S12" s="13"/>
      <c r="T12" s="13"/>
      <c r="U12" s="13"/>
    </row>
    <row r="13" spans="1:36" ht="15.75" thickBot="1" x14ac:dyDescent="0.25">
      <c r="A13" s="21"/>
      <c r="B13" s="11" t="s">
        <v>265</v>
      </c>
      <c r="C13" s="26" t="s">
        <v>151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M13" s="15"/>
      <c r="N13" s="13"/>
      <c r="O13" s="14"/>
      <c r="P13" s="13"/>
      <c r="Q13" s="13"/>
      <c r="R13" s="13"/>
      <c r="S13" s="13"/>
      <c r="T13" s="13"/>
      <c r="U13" s="13"/>
    </row>
    <row r="14" spans="1:36" ht="15.75" thickBot="1" x14ac:dyDescent="0.25">
      <c r="A14" s="21"/>
      <c r="B14" s="11">
        <v>19</v>
      </c>
      <c r="C14" s="26" t="s">
        <v>152</v>
      </c>
      <c r="D14" s="11">
        <v>1</v>
      </c>
      <c r="E14" s="11">
        <v>0</v>
      </c>
      <c r="F14" s="11">
        <v>0</v>
      </c>
      <c r="G14" s="11">
        <v>1</v>
      </c>
      <c r="H14" s="11">
        <v>0</v>
      </c>
      <c r="I14" s="11">
        <v>0.02</v>
      </c>
      <c r="M14" s="15"/>
      <c r="N14" s="13"/>
      <c r="O14" s="14"/>
      <c r="P14" s="13"/>
      <c r="Q14" s="13"/>
      <c r="R14" s="13"/>
      <c r="S14" s="13"/>
      <c r="T14" s="13"/>
      <c r="U14" s="13"/>
    </row>
    <row r="15" spans="1:36" ht="15.75" thickBot="1" x14ac:dyDescent="0.25">
      <c r="A15" s="21"/>
      <c r="B15" s="11">
        <v>26</v>
      </c>
      <c r="C15" s="26" t="s">
        <v>153</v>
      </c>
      <c r="D15" s="11">
        <v>0</v>
      </c>
      <c r="E15" s="11">
        <v>0</v>
      </c>
      <c r="F15" s="11">
        <v>2</v>
      </c>
      <c r="G15" s="11">
        <v>2</v>
      </c>
      <c r="H15" s="11">
        <v>0.31</v>
      </c>
      <c r="I15" s="11">
        <v>0.79</v>
      </c>
      <c r="M15" s="15"/>
      <c r="N15" s="13"/>
      <c r="O15" s="14"/>
      <c r="P15" s="13"/>
      <c r="Q15" s="13"/>
      <c r="R15" s="13"/>
      <c r="S15" s="13"/>
      <c r="T15" s="13"/>
      <c r="U15" s="13"/>
    </row>
    <row r="16" spans="1:36" ht="15.75" thickBot="1" x14ac:dyDescent="0.25">
      <c r="A16" s="21"/>
      <c r="B16" s="11">
        <v>11</v>
      </c>
      <c r="C16" s="26" t="s">
        <v>154</v>
      </c>
      <c r="D16" s="11">
        <v>4</v>
      </c>
      <c r="E16" s="11">
        <v>5</v>
      </c>
      <c r="F16" s="11">
        <v>7</v>
      </c>
      <c r="G16" s="11">
        <v>16</v>
      </c>
      <c r="H16" s="11">
        <v>0.39</v>
      </c>
      <c r="I16" s="11">
        <v>0.61</v>
      </c>
      <c r="M16" s="15"/>
      <c r="N16" s="13"/>
      <c r="O16" s="14"/>
      <c r="P16" s="13"/>
      <c r="Q16" s="13"/>
      <c r="R16" s="13"/>
      <c r="S16" s="13"/>
      <c r="T16" s="13"/>
      <c r="U16" s="13"/>
    </row>
    <row r="17" spans="1:21" ht="15.75" thickBot="1" x14ac:dyDescent="0.25">
      <c r="A17" s="21"/>
      <c r="B17" s="11" t="s">
        <v>265</v>
      </c>
      <c r="C17" s="26" t="s">
        <v>155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M17" s="15"/>
      <c r="N17" s="13"/>
      <c r="O17" s="14"/>
      <c r="P17" s="13"/>
      <c r="Q17" s="13"/>
      <c r="R17" s="13"/>
      <c r="S17" s="13"/>
      <c r="T17" s="13"/>
      <c r="U17" s="13"/>
    </row>
    <row r="18" spans="1:21" ht="15.75" thickBot="1" x14ac:dyDescent="0.25">
      <c r="A18" s="21"/>
      <c r="B18" s="11">
        <v>12</v>
      </c>
      <c r="C18" s="26" t="s">
        <v>156</v>
      </c>
      <c r="D18" s="11">
        <v>4</v>
      </c>
      <c r="E18" s="11">
        <v>3</v>
      </c>
      <c r="F18" s="11">
        <v>5</v>
      </c>
      <c r="G18" s="11">
        <v>12</v>
      </c>
      <c r="H18" s="11">
        <v>0.01</v>
      </c>
      <c r="I18" s="11">
        <v>0.03</v>
      </c>
      <c r="M18" s="15"/>
      <c r="N18" s="13"/>
      <c r="O18" s="14"/>
      <c r="P18" s="13"/>
      <c r="Q18" s="13"/>
      <c r="R18" s="13"/>
      <c r="S18" s="13"/>
      <c r="T18" s="13"/>
      <c r="U18" s="13"/>
    </row>
    <row r="19" spans="1:21" ht="15.75" thickBot="1" x14ac:dyDescent="0.25">
      <c r="A19" s="21"/>
      <c r="B19" s="11" t="s">
        <v>265</v>
      </c>
      <c r="C19" s="26" t="s">
        <v>157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M19" s="15"/>
      <c r="N19" s="13"/>
      <c r="O19" s="14"/>
      <c r="P19" s="13"/>
      <c r="Q19" s="13"/>
      <c r="R19" s="13"/>
      <c r="S19" s="13"/>
      <c r="T19" s="13"/>
      <c r="U19" s="13"/>
    </row>
    <row r="20" spans="1:21" ht="15.75" thickBot="1" x14ac:dyDescent="0.25">
      <c r="A20" s="21"/>
      <c r="B20" s="11" t="s">
        <v>265</v>
      </c>
      <c r="C20" s="26" t="s">
        <v>158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M20" s="15"/>
      <c r="N20" s="13"/>
      <c r="O20" s="14"/>
      <c r="P20" s="13"/>
      <c r="Q20" s="13"/>
      <c r="R20" s="13"/>
      <c r="S20" s="13"/>
      <c r="T20" s="13"/>
      <c r="U20" s="13"/>
    </row>
    <row r="21" spans="1:21" ht="15.75" thickBot="1" x14ac:dyDescent="0.25">
      <c r="A21" s="21"/>
      <c r="B21" s="11" t="s">
        <v>265</v>
      </c>
      <c r="C21" s="26" t="s">
        <v>159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M21" s="15"/>
      <c r="N21" s="13"/>
      <c r="O21" s="14"/>
      <c r="P21" s="13"/>
      <c r="Q21" s="13"/>
      <c r="R21" s="13"/>
      <c r="S21" s="13"/>
      <c r="T21" s="13"/>
      <c r="U21" s="13"/>
    </row>
    <row r="22" spans="1:21" ht="15.75" thickBot="1" x14ac:dyDescent="0.25">
      <c r="A22" s="21"/>
      <c r="B22" s="11" t="s">
        <v>265</v>
      </c>
      <c r="C22" s="26" t="s">
        <v>160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M22" s="15"/>
      <c r="N22" s="13"/>
      <c r="O22" s="14"/>
      <c r="P22" s="13"/>
      <c r="Q22" s="13"/>
      <c r="R22" s="13"/>
      <c r="S22" s="13"/>
      <c r="T22" s="13"/>
      <c r="U22" s="13"/>
    </row>
    <row r="23" spans="1:21" ht="15.75" thickBot="1" x14ac:dyDescent="0.25">
      <c r="A23" s="21"/>
      <c r="B23" s="11">
        <v>16</v>
      </c>
      <c r="C23" s="26" t="s">
        <v>161</v>
      </c>
      <c r="D23" s="11">
        <v>2</v>
      </c>
      <c r="E23" s="11">
        <v>2</v>
      </c>
      <c r="F23" s="11">
        <v>0</v>
      </c>
      <c r="G23" s="11">
        <v>4</v>
      </c>
      <c r="H23" s="11">
        <v>0.37</v>
      </c>
      <c r="I23" s="11">
        <v>0.64</v>
      </c>
      <c r="M23" s="15"/>
      <c r="N23" s="13"/>
      <c r="O23" s="14"/>
      <c r="P23" s="13"/>
      <c r="Q23" s="13"/>
      <c r="R23" s="13"/>
      <c r="S23" s="13"/>
      <c r="T23" s="13"/>
      <c r="U23" s="13"/>
    </row>
    <row r="24" spans="1:21" ht="15.75" thickBot="1" x14ac:dyDescent="0.25">
      <c r="A24" s="21"/>
      <c r="B24" s="11" t="s">
        <v>265</v>
      </c>
      <c r="C24" s="26" t="s">
        <v>162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M24" s="15"/>
      <c r="N24" s="13"/>
      <c r="O24" s="14"/>
      <c r="P24" s="13"/>
      <c r="Q24" s="13"/>
      <c r="R24" s="13"/>
      <c r="S24" s="13"/>
      <c r="T24" s="13"/>
      <c r="U24" s="13"/>
    </row>
    <row r="25" spans="1:21" ht="15.75" thickBot="1" x14ac:dyDescent="0.25">
      <c r="A25" s="21"/>
      <c r="B25" s="11" t="s">
        <v>265</v>
      </c>
      <c r="C25" s="26" t="s">
        <v>163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M25" s="15"/>
      <c r="N25" s="13"/>
      <c r="O25" s="14"/>
      <c r="P25" s="13"/>
      <c r="Q25" s="13"/>
      <c r="R25" s="13"/>
      <c r="S25" s="13"/>
      <c r="T25" s="13"/>
      <c r="U25" s="13"/>
    </row>
    <row r="26" spans="1:21" ht="15.75" thickBot="1" x14ac:dyDescent="0.25">
      <c r="A26" s="21"/>
      <c r="B26" s="11" t="s">
        <v>265</v>
      </c>
      <c r="C26" s="26" t="s">
        <v>164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M26" s="15"/>
      <c r="N26" s="13"/>
      <c r="O26" s="14"/>
      <c r="P26" s="13"/>
      <c r="Q26" s="13"/>
      <c r="R26" s="13"/>
      <c r="S26" s="13"/>
      <c r="T26" s="13"/>
      <c r="U26" s="13"/>
    </row>
    <row r="27" spans="1:21" ht="15.75" thickBot="1" x14ac:dyDescent="0.25">
      <c r="A27" s="21"/>
      <c r="B27" s="11" t="s">
        <v>265</v>
      </c>
      <c r="C27" s="26" t="s">
        <v>165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M27" s="15"/>
      <c r="N27" s="13"/>
      <c r="O27" s="14"/>
      <c r="P27" s="13"/>
      <c r="Q27" s="13"/>
      <c r="R27" s="13"/>
      <c r="S27" s="13"/>
      <c r="T27" s="13"/>
      <c r="U27" s="13"/>
    </row>
    <row r="28" spans="1:21" ht="15.75" thickBot="1" x14ac:dyDescent="0.25">
      <c r="A28" s="21"/>
      <c r="B28" s="11">
        <v>23</v>
      </c>
      <c r="C28" s="26" t="s">
        <v>166</v>
      </c>
      <c r="D28" s="11">
        <v>0</v>
      </c>
      <c r="E28" s="11">
        <v>1</v>
      </c>
      <c r="F28" s="11">
        <v>4</v>
      </c>
      <c r="G28" s="11">
        <v>5</v>
      </c>
      <c r="H28" s="11">
        <v>0.89</v>
      </c>
      <c r="I28" s="11">
        <v>1.38</v>
      </c>
      <c r="M28" s="15"/>
      <c r="N28" s="13"/>
      <c r="O28" s="14"/>
      <c r="P28" s="13"/>
      <c r="Q28" s="13"/>
      <c r="R28" s="13"/>
      <c r="S28" s="13"/>
      <c r="T28" s="13"/>
      <c r="U28" s="13"/>
    </row>
    <row r="29" spans="1:21" ht="15.75" thickBot="1" x14ac:dyDescent="0.25">
      <c r="A29" s="21"/>
      <c r="B29" s="11">
        <v>6</v>
      </c>
      <c r="C29" s="26" t="s">
        <v>167</v>
      </c>
      <c r="D29" s="11">
        <v>6</v>
      </c>
      <c r="E29" s="11">
        <v>8</v>
      </c>
      <c r="F29" s="11">
        <v>6</v>
      </c>
      <c r="G29" s="11">
        <v>20</v>
      </c>
      <c r="H29" s="11">
        <v>0.28999999999999998</v>
      </c>
      <c r="I29" s="11">
        <v>0.45</v>
      </c>
      <c r="M29" s="15"/>
      <c r="N29" s="13"/>
      <c r="O29" s="14"/>
      <c r="P29" s="13"/>
      <c r="Q29" s="13"/>
      <c r="R29" s="13"/>
      <c r="S29" s="13"/>
      <c r="T29" s="13"/>
      <c r="U29" s="13"/>
    </row>
    <row r="30" spans="1:21" ht="15.75" thickBot="1" x14ac:dyDescent="0.25">
      <c r="A30" s="21"/>
      <c r="B30" s="11">
        <v>25</v>
      </c>
      <c r="C30" s="26" t="s">
        <v>168</v>
      </c>
      <c r="D30" s="11">
        <v>0</v>
      </c>
      <c r="E30" s="11">
        <v>1</v>
      </c>
      <c r="F30" s="11">
        <v>0</v>
      </c>
      <c r="G30" s="11">
        <v>1</v>
      </c>
      <c r="H30" s="11">
        <v>0.27</v>
      </c>
      <c r="I30" s="11">
        <v>0.96</v>
      </c>
      <c r="M30" s="15"/>
      <c r="N30" s="13"/>
      <c r="O30" s="14"/>
      <c r="P30" s="13"/>
      <c r="Q30" s="13"/>
      <c r="R30" s="13"/>
      <c r="S30" s="13"/>
      <c r="T30" s="13"/>
      <c r="U30" s="13"/>
    </row>
    <row r="31" spans="1:21" ht="15.75" thickBot="1" x14ac:dyDescent="0.25">
      <c r="A31" s="21"/>
      <c r="B31" s="11">
        <v>5</v>
      </c>
      <c r="C31" s="26" t="s">
        <v>169</v>
      </c>
      <c r="D31" s="11">
        <v>6</v>
      </c>
      <c r="E31" s="11">
        <v>8</v>
      </c>
      <c r="F31" s="11">
        <v>8</v>
      </c>
      <c r="G31" s="11">
        <v>22</v>
      </c>
      <c r="H31" s="11">
        <v>0.26</v>
      </c>
      <c r="I31" s="11">
        <v>0.37</v>
      </c>
      <c r="M31" s="15"/>
      <c r="N31" s="13"/>
      <c r="O31" s="14"/>
      <c r="P31" s="13"/>
      <c r="Q31" s="13"/>
      <c r="R31" s="13"/>
      <c r="S31" s="13"/>
      <c r="T31" s="13"/>
      <c r="U31" s="13"/>
    </row>
    <row r="32" spans="1:21" ht="15.75" thickBot="1" x14ac:dyDescent="0.25">
      <c r="A32" s="21"/>
      <c r="B32" s="11">
        <v>14</v>
      </c>
      <c r="C32" s="26" t="s">
        <v>170</v>
      </c>
      <c r="D32" s="11">
        <v>3</v>
      </c>
      <c r="E32" s="11">
        <v>0</v>
      </c>
      <c r="F32" s="11">
        <v>0</v>
      </c>
      <c r="G32" s="11">
        <v>3</v>
      </c>
      <c r="H32" s="11">
        <v>0.04</v>
      </c>
      <c r="I32" s="11">
        <v>7.0000000000000007E-2</v>
      </c>
      <c r="M32" s="15"/>
      <c r="N32" s="13"/>
      <c r="O32" s="14"/>
      <c r="P32" s="13"/>
      <c r="Q32" s="13"/>
      <c r="R32" s="13"/>
      <c r="S32" s="13"/>
      <c r="T32" s="13"/>
      <c r="U32" s="13"/>
    </row>
    <row r="33" spans="1:21" ht="15.75" thickBot="1" x14ac:dyDescent="0.25">
      <c r="A33" s="21"/>
      <c r="B33" s="11" t="s">
        <v>265</v>
      </c>
      <c r="C33" s="26" t="s">
        <v>171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M33" s="15"/>
      <c r="N33" s="13"/>
      <c r="O33" s="14"/>
      <c r="P33" s="13"/>
      <c r="Q33" s="13"/>
      <c r="R33" s="13"/>
      <c r="S33" s="13"/>
      <c r="T33" s="13"/>
      <c r="U33" s="13"/>
    </row>
    <row r="34" spans="1:21" ht="15.75" thickBot="1" x14ac:dyDescent="0.25">
      <c r="A34" s="21"/>
      <c r="B34" s="11" t="s">
        <v>265</v>
      </c>
      <c r="C34" s="26" t="s">
        <v>172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M34" s="15"/>
      <c r="N34" s="13"/>
      <c r="O34" s="14"/>
      <c r="P34" s="13"/>
      <c r="Q34" s="13"/>
      <c r="R34" s="13"/>
      <c r="S34" s="13"/>
      <c r="T34" s="13"/>
      <c r="U34" s="13"/>
    </row>
    <row r="35" spans="1:21" ht="15.75" thickBot="1" x14ac:dyDescent="0.25">
      <c r="A35" s="21"/>
      <c r="B35" s="11" t="s">
        <v>265</v>
      </c>
      <c r="C35" s="26" t="s">
        <v>173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M35" s="15"/>
      <c r="N35" s="13"/>
      <c r="O35" s="14"/>
      <c r="P35" s="13"/>
      <c r="Q35" s="13"/>
      <c r="R35" s="13"/>
      <c r="S35" s="13"/>
      <c r="T35" s="13"/>
      <c r="U35" s="13"/>
    </row>
    <row r="36" spans="1:21" ht="15.75" thickBot="1" x14ac:dyDescent="0.25">
      <c r="A36" s="21"/>
      <c r="B36" s="11" t="s">
        <v>265</v>
      </c>
      <c r="C36" s="26" t="s">
        <v>174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M36" s="15"/>
      <c r="N36" s="13"/>
      <c r="O36" s="14"/>
      <c r="P36" s="13"/>
      <c r="Q36" s="13"/>
      <c r="R36" s="13"/>
      <c r="S36" s="13"/>
      <c r="T36" s="13"/>
      <c r="U36" s="13"/>
    </row>
    <row r="37" spans="1:21" ht="15.75" thickBot="1" x14ac:dyDescent="0.25">
      <c r="A37" s="21"/>
      <c r="B37" s="11" t="s">
        <v>265</v>
      </c>
      <c r="C37" s="26" t="s">
        <v>175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M37" s="15"/>
      <c r="N37" s="13"/>
      <c r="O37" s="14"/>
      <c r="P37" s="13"/>
      <c r="Q37" s="13"/>
      <c r="R37" s="13"/>
      <c r="S37" s="13"/>
      <c r="T37" s="13"/>
      <c r="U37" s="13"/>
    </row>
    <row r="38" spans="1:21" ht="15.75" thickBot="1" x14ac:dyDescent="0.25">
      <c r="A38" s="21"/>
      <c r="B38" s="11" t="s">
        <v>265</v>
      </c>
      <c r="C38" s="26" t="s">
        <v>176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M38" s="15"/>
      <c r="N38" s="13"/>
      <c r="O38" s="14"/>
      <c r="P38" s="13"/>
      <c r="Q38" s="13"/>
      <c r="R38" s="13"/>
      <c r="S38" s="13"/>
      <c r="T38" s="13"/>
      <c r="U38" s="13"/>
    </row>
    <row r="39" spans="1:21" ht="15.75" thickBot="1" x14ac:dyDescent="0.25">
      <c r="A39" s="21"/>
      <c r="B39" s="11" t="s">
        <v>265</v>
      </c>
      <c r="C39" s="26" t="s">
        <v>177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M39" s="15"/>
      <c r="N39" s="13"/>
      <c r="O39" s="14"/>
      <c r="P39" s="13"/>
      <c r="Q39" s="13"/>
      <c r="R39" s="13"/>
      <c r="S39" s="13"/>
      <c r="T39" s="13"/>
      <c r="U39" s="13"/>
    </row>
    <row r="40" spans="1:21" ht="15.75" thickBot="1" x14ac:dyDescent="0.25">
      <c r="A40" s="21"/>
      <c r="B40" s="11" t="s">
        <v>265</v>
      </c>
      <c r="C40" s="26" t="s">
        <v>178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M40" s="15"/>
      <c r="N40" s="13"/>
      <c r="O40" s="14"/>
      <c r="P40" s="13"/>
      <c r="Q40" s="13"/>
      <c r="R40" s="13"/>
      <c r="S40" s="13"/>
      <c r="T40" s="13"/>
      <c r="U40" s="13"/>
    </row>
    <row r="41" spans="1:21" ht="15.75" thickBot="1" x14ac:dyDescent="0.25">
      <c r="A41" s="21"/>
      <c r="B41" s="11" t="s">
        <v>265</v>
      </c>
      <c r="C41" s="26" t="s">
        <v>179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M41" s="15"/>
      <c r="N41" s="13"/>
      <c r="O41" s="14"/>
      <c r="P41" s="13"/>
      <c r="Q41" s="13"/>
      <c r="R41" s="13"/>
      <c r="S41" s="13"/>
      <c r="T41" s="13"/>
      <c r="U41" s="13"/>
    </row>
    <row r="42" spans="1:21" ht="15.75" thickBot="1" x14ac:dyDescent="0.25">
      <c r="A42" s="21"/>
      <c r="B42" s="11" t="s">
        <v>265</v>
      </c>
      <c r="C42" s="26" t="s">
        <v>180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M42" s="15"/>
      <c r="N42" s="13"/>
      <c r="O42" s="14"/>
      <c r="P42" s="13"/>
      <c r="Q42" s="13"/>
      <c r="R42" s="13"/>
      <c r="S42" s="13"/>
      <c r="T42" s="13"/>
      <c r="U42" s="13"/>
    </row>
    <row r="43" spans="1:21" ht="15.75" thickBot="1" x14ac:dyDescent="0.25">
      <c r="A43" s="21"/>
      <c r="B43" s="11">
        <v>3</v>
      </c>
      <c r="C43" s="26" t="s">
        <v>139</v>
      </c>
      <c r="D43" s="11">
        <v>9</v>
      </c>
      <c r="E43" s="11">
        <v>5</v>
      </c>
      <c r="F43" s="22">
        <v>12</v>
      </c>
      <c r="G43" s="11">
        <v>26</v>
      </c>
      <c r="H43" s="11">
        <v>0.44</v>
      </c>
      <c r="I43" s="11">
        <v>0.72</v>
      </c>
      <c r="M43" s="15"/>
      <c r="N43" s="13"/>
      <c r="O43" s="14"/>
      <c r="P43" s="13"/>
      <c r="Q43" s="13"/>
      <c r="R43" s="13"/>
      <c r="S43" s="13"/>
      <c r="T43" s="13"/>
      <c r="U43" s="13"/>
    </row>
    <row r="44" spans="1:21" ht="15.75" thickBot="1" x14ac:dyDescent="0.25">
      <c r="A44" s="21"/>
      <c r="B44" s="11" t="s">
        <v>265</v>
      </c>
      <c r="C44" s="26" t="s">
        <v>181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M44" s="15"/>
      <c r="N44" s="13"/>
      <c r="O44" s="14"/>
      <c r="P44" s="13"/>
      <c r="Q44" s="13"/>
      <c r="R44" s="13"/>
      <c r="S44" s="13"/>
      <c r="T44" s="13"/>
      <c r="U44" s="13"/>
    </row>
    <row r="45" spans="1:21" ht="15.75" thickBot="1" x14ac:dyDescent="0.25">
      <c r="A45" s="21"/>
      <c r="B45" s="11">
        <v>10</v>
      </c>
      <c r="C45" s="26" t="s">
        <v>182</v>
      </c>
      <c r="D45" s="11">
        <v>5</v>
      </c>
      <c r="E45" s="11">
        <v>7</v>
      </c>
      <c r="F45" s="22">
        <v>12</v>
      </c>
      <c r="G45" s="11">
        <v>24</v>
      </c>
      <c r="H45" s="11">
        <v>0.19</v>
      </c>
      <c r="I45" s="11">
        <v>0.37</v>
      </c>
      <c r="M45" s="15"/>
      <c r="N45" s="13"/>
      <c r="O45" s="14"/>
      <c r="P45" s="13"/>
      <c r="Q45" s="13"/>
      <c r="R45" s="13"/>
      <c r="S45" s="13"/>
      <c r="T45" s="13"/>
      <c r="U45" s="13"/>
    </row>
    <row r="46" spans="1:21" ht="15.75" thickBot="1" x14ac:dyDescent="0.25">
      <c r="A46" s="21"/>
      <c r="B46" s="11">
        <v>19</v>
      </c>
      <c r="C46" s="26" t="s">
        <v>183</v>
      </c>
      <c r="D46" s="11">
        <v>1</v>
      </c>
      <c r="E46" s="11">
        <v>0</v>
      </c>
      <c r="F46" s="11">
        <v>0</v>
      </c>
      <c r="G46" s="11">
        <v>1</v>
      </c>
      <c r="H46" s="11">
        <v>0.05</v>
      </c>
      <c r="I46" s="11">
        <v>0.12</v>
      </c>
      <c r="M46" s="15"/>
      <c r="N46" s="13"/>
      <c r="O46" s="14"/>
      <c r="P46" s="13"/>
      <c r="Q46" s="13"/>
      <c r="R46" s="13"/>
      <c r="S46" s="13"/>
      <c r="T46" s="13"/>
      <c r="U46" s="13"/>
    </row>
    <row r="47" spans="1:21" ht="15.75" thickBot="1" x14ac:dyDescent="0.25">
      <c r="A47" s="21"/>
      <c r="B47" s="11" t="s">
        <v>265</v>
      </c>
      <c r="C47" s="26" t="s">
        <v>184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M47" s="15"/>
      <c r="N47" s="13"/>
      <c r="O47" s="14"/>
      <c r="P47" s="13"/>
      <c r="Q47" s="13"/>
      <c r="R47" s="13"/>
      <c r="S47" s="13"/>
      <c r="T47" s="13"/>
      <c r="U47" s="13"/>
    </row>
    <row r="48" spans="1:21" ht="15.75" thickBot="1" x14ac:dyDescent="0.25">
      <c r="A48" s="21"/>
      <c r="B48" s="11" t="s">
        <v>265</v>
      </c>
      <c r="C48" s="26" t="s">
        <v>185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M48" s="15"/>
      <c r="N48" s="13"/>
      <c r="O48" s="14"/>
      <c r="P48" s="13"/>
      <c r="Q48" s="13"/>
      <c r="R48" s="13"/>
      <c r="S48" s="13"/>
      <c r="T48" s="13"/>
      <c r="U48" s="13"/>
    </row>
    <row r="49" spans="1:21" ht="15.75" thickBot="1" x14ac:dyDescent="0.25">
      <c r="A49" s="21"/>
      <c r="B49" s="11" t="s">
        <v>265</v>
      </c>
      <c r="C49" s="26" t="s">
        <v>186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M49" s="15"/>
      <c r="N49" s="13"/>
      <c r="O49" s="14"/>
      <c r="P49" s="13"/>
      <c r="Q49" s="13"/>
      <c r="R49" s="13"/>
      <c r="S49" s="13"/>
      <c r="T49" s="13"/>
      <c r="U49" s="13"/>
    </row>
    <row r="50" spans="1:21" ht="15.75" thickBot="1" x14ac:dyDescent="0.25">
      <c r="A50" s="21"/>
      <c r="B50" s="11">
        <v>24</v>
      </c>
      <c r="C50" s="26" t="s">
        <v>187</v>
      </c>
      <c r="D50" s="11">
        <v>0</v>
      </c>
      <c r="E50" s="11">
        <v>1</v>
      </c>
      <c r="F50" s="11">
        <v>1</v>
      </c>
      <c r="G50" s="11">
        <v>2</v>
      </c>
      <c r="H50" s="11">
        <v>1.07</v>
      </c>
      <c r="I50" s="11">
        <v>2.5099999999999998</v>
      </c>
      <c r="M50" s="15"/>
      <c r="N50" s="13"/>
      <c r="O50" s="14"/>
      <c r="P50" s="13"/>
      <c r="Q50" s="13"/>
      <c r="R50" s="13"/>
      <c r="S50" s="13"/>
      <c r="T50" s="13"/>
      <c r="U50" s="13"/>
    </row>
    <row r="51" spans="1:21" ht="15.75" thickBot="1" x14ac:dyDescent="0.25">
      <c r="A51" s="21"/>
      <c r="B51" s="11" t="s">
        <v>265</v>
      </c>
      <c r="C51" s="26" t="s">
        <v>188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M51" s="15"/>
      <c r="N51" s="13"/>
      <c r="O51" s="14"/>
      <c r="P51" s="13"/>
      <c r="Q51" s="13"/>
      <c r="R51" s="13"/>
      <c r="S51" s="13"/>
      <c r="T51" s="13"/>
      <c r="U51" s="13"/>
    </row>
    <row r="52" spans="1:21" ht="15.75" thickBot="1" x14ac:dyDescent="0.25">
      <c r="A52" s="21"/>
      <c r="B52" s="11" t="s">
        <v>265</v>
      </c>
      <c r="C52" s="26" t="s">
        <v>189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M52" s="15"/>
      <c r="N52" s="13"/>
      <c r="O52" s="14"/>
      <c r="P52" s="13"/>
      <c r="Q52" s="13"/>
      <c r="R52" s="13"/>
      <c r="S52" s="13"/>
      <c r="T52" s="13"/>
      <c r="U52" s="13"/>
    </row>
    <row r="53" spans="1:21" ht="15.75" thickBot="1" x14ac:dyDescent="0.25">
      <c r="A53" s="21"/>
      <c r="B53" s="11" t="s">
        <v>265</v>
      </c>
      <c r="C53" s="26" t="s">
        <v>190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M53" s="15"/>
      <c r="N53" s="13"/>
      <c r="O53" s="14"/>
      <c r="P53" s="13"/>
      <c r="Q53" s="13"/>
      <c r="R53" s="13"/>
      <c r="S53" s="13"/>
      <c r="T53" s="13"/>
      <c r="U53" s="13"/>
    </row>
    <row r="54" spans="1:21" ht="15.75" thickBot="1" x14ac:dyDescent="0.25">
      <c r="A54" s="21"/>
      <c r="B54" s="11" t="s">
        <v>265</v>
      </c>
      <c r="C54" s="26" t="s">
        <v>191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M54" s="15"/>
      <c r="N54" s="13"/>
      <c r="O54" s="14"/>
      <c r="P54" s="13"/>
      <c r="Q54" s="13"/>
      <c r="R54" s="13"/>
      <c r="S54" s="13"/>
      <c r="T54" s="13"/>
      <c r="U54" s="13"/>
    </row>
    <row r="55" spans="1:21" ht="15.75" thickBot="1" x14ac:dyDescent="0.25">
      <c r="A55" s="21"/>
      <c r="B55" s="11" t="s">
        <v>265</v>
      </c>
      <c r="C55" s="26" t="s">
        <v>192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M55" s="15"/>
      <c r="N55" s="13"/>
      <c r="O55" s="14"/>
      <c r="P55" s="13"/>
      <c r="Q55" s="13"/>
      <c r="R55" s="13"/>
      <c r="S55" s="13"/>
      <c r="T55" s="13"/>
      <c r="U55" s="13"/>
    </row>
    <row r="56" spans="1:21" ht="15.75" thickBot="1" x14ac:dyDescent="0.25">
      <c r="A56" s="21"/>
      <c r="B56" s="11" t="s">
        <v>265</v>
      </c>
      <c r="C56" s="26" t="s">
        <v>193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M56" s="15"/>
      <c r="N56" s="13"/>
      <c r="O56" s="14"/>
      <c r="P56" s="13"/>
      <c r="Q56" s="13"/>
      <c r="R56" s="13"/>
      <c r="S56" s="13"/>
      <c r="T56" s="13"/>
      <c r="U56" s="13"/>
    </row>
    <row r="57" spans="1:21" ht="15.75" thickBot="1" x14ac:dyDescent="0.25">
      <c r="A57" s="21"/>
      <c r="B57" s="11" t="s">
        <v>265</v>
      </c>
      <c r="C57" s="26" t="s">
        <v>194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M57" s="15"/>
      <c r="N57" s="13"/>
      <c r="O57" s="14"/>
      <c r="P57" s="13"/>
      <c r="Q57" s="13"/>
      <c r="R57" s="13"/>
      <c r="S57" s="13"/>
      <c r="T57" s="13"/>
      <c r="U57" s="13"/>
    </row>
    <row r="58" spans="1:21" ht="15.75" thickBot="1" x14ac:dyDescent="0.25">
      <c r="A58" s="21"/>
      <c r="B58" s="11" t="s">
        <v>265</v>
      </c>
      <c r="C58" s="26" t="s">
        <v>195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M58" s="15"/>
      <c r="N58" s="13"/>
      <c r="O58" s="14"/>
      <c r="P58" s="13"/>
      <c r="Q58" s="13"/>
      <c r="R58" s="13"/>
      <c r="S58" s="13"/>
      <c r="T58" s="13"/>
      <c r="U58" s="13"/>
    </row>
    <row r="59" spans="1:21" ht="15.75" thickBot="1" x14ac:dyDescent="0.25">
      <c r="A59" s="21"/>
      <c r="B59" s="11" t="s">
        <v>265</v>
      </c>
      <c r="C59" s="26" t="s">
        <v>196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M59" s="15"/>
      <c r="N59" s="13"/>
      <c r="O59" s="14"/>
      <c r="P59" s="13"/>
      <c r="Q59" s="13"/>
      <c r="R59" s="13"/>
      <c r="S59" s="13"/>
      <c r="T59" s="13"/>
      <c r="U59" s="13"/>
    </row>
    <row r="60" spans="1:21" ht="15.75" thickBot="1" x14ac:dyDescent="0.25">
      <c r="A60" s="21"/>
      <c r="B60" s="11" t="s">
        <v>265</v>
      </c>
      <c r="C60" s="26" t="s">
        <v>197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M60" s="15"/>
      <c r="N60" s="13"/>
      <c r="O60" s="14"/>
      <c r="P60" s="13"/>
      <c r="Q60" s="13"/>
      <c r="R60" s="13"/>
      <c r="S60" s="13"/>
      <c r="T60" s="13"/>
      <c r="U60" s="13"/>
    </row>
    <row r="61" spans="1:21" ht="15.75" thickBot="1" x14ac:dyDescent="0.25">
      <c r="A61" s="21"/>
      <c r="B61" s="11" t="s">
        <v>265</v>
      </c>
      <c r="C61" s="26" t="s">
        <v>198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M61" s="15"/>
      <c r="N61" s="13"/>
      <c r="O61" s="14"/>
      <c r="P61" s="13"/>
      <c r="Q61" s="13"/>
      <c r="R61" s="13"/>
      <c r="S61" s="13"/>
      <c r="T61" s="13"/>
      <c r="U61" s="13"/>
    </row>
    <row r="62" spans="1:21" ht="15.75" thickBot="1" x14ac:dyDescent="0.25">
      <c r="A62" s="21"/>
      <c r="B62" s="11" t="s">
        <v>265</v>
      </c>
      <c r="C62" s="26" t="s">
        <v>199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M62" s="15"/>
      <c r="N62" s="13"/>
      <c r="O62" s="14"/>
      <c r="P62" s="13"/>
      <c r="Q62" s="13"/>
      <c r="R62" s="13"/>
      <c r="S62" s="13"/>
      <c r="T62" s="13"/>
      <c r="U62" s="13"/>
    </row>
    <row r="63" spans="1:21" ht="15.75" thickBot="1" x14ac:dyDescent="0.25">
      <c r="A63" s="21"/>
      <c r="B63" s="11" t="s">
        <v>265</v>
      </c>
      <c r="C63" s="26" t="s">
        <v>200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M63" s="15"/>
      <c r="N63" s="13"/>
      <c r="O63" s="14"/>
      <c r="P63" s="13"/>
      <c r="Q63" s="13"/>
      <c r="R63" s="13"/>
      <c r="S63" s="13"/>
      <c r="T63" s="13"/>
      <c r="U63" s="13"/>
    </row>
    <row r="64" spans="1:21" ht="15.75" thickBot="1" x14ac:dyDescent="0.25">
      <c r="A64" s="21"/>
      <c r="B64" s="11">
        <v>4</v>
      </c>
      <c r="C64" s="26" t="s">
        <v>201</v>
      </c>
      <c r="D64" s="11">
        <v>7</v>
      </c>
      <c r="E64" s="11">
        <v>7</v>
      </c>
      <c r="F64" s="11">
        <v>3</v>
      </c>
      <c r="G64" s="11">
        <v>17</v>
      </c>
      <c r="H64" s="11">
        <v>0.95</v>
      </c>
      <c r="I64" s="11">
        <v>1.1599999999999999</v>
      </c>
      <c r="M64" s="15"/>
      <c r="N64" s="13"/>
      <c r="O64" s="14"/>
      <c r="P64" s="13"/>
      <c r="Q64" s="13"/>
      <c r="R64" s="13"/>
      <c r="S64" s="13"/>
      <c r="T64" s="13"/>
      <c r="U64" s="13"/>
    </row>
    <row r="65" spans="1:21" ht="15.75" thickBot="1" x14ac:dyDescent="0.25">
      <c r="A65" s="21"/>
      <c r="B65" s="11">
        <v>22</v>
      </c>
      <c r="C65" s="26" t="s">
        <v>202</v>
      </c>
      <c r="D65" s="11">
        <v>0</v>
      </c>
      <c r="E65" s="11">
        <v>2</v>
      </c>
      <c r="F65" s="11">
        <v>1</v>
      </c>
      <c r="G65" s="11">
        <v>3</v>
      </c>
      <c r="H65" s="11">
        <v>0.56999999999999995</v>
      </c>
      <c r="I65" s="11">
        <v>1.04</v>
      </c>
      <c r="M65" s="15"/>
      <c r="N65" s="13"/>
      <c r="O65" s="14"/>
      <c r="P65" s="13"/>
      <c r="Q65" s="13"/>
      <c r="R65" s="13"/>
      <c r="S65" s="13"/>
      <c r="T65" s="13"/>
      <c r="U65" s="13"/>
    </row>
    <row r="66" spans="1:21" ht="15.75" thickBot="1" x14ac:dyDescent="0.25">
      <c r="A66" s="21"/>
      <c r="B66" s="11" t="s">
        <v>265</v>
      </c>
      <c r="C66" s="26" t="s">
        <v>203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M66" s="15"/>
      <c r="N66" s="13"/>
      <c r="O66" s="14"/>
      <c r="P66" s="13"/>
      <c r="Q66" s="13"/>
      <c r="R66" s="13"/>
      <c r="S66" s="13"/>
      <c r="T66" s="13"/>
      <c r="U66" s="13"/>
    </row>
    <row r="67" spans="1:21" ht="15.75" thickBot="1" x14ac:dyDescent="0.25">
      <c r="A67" s="21"/>
      <c r="B67" s="11" t="s">
        <v>265</v>
      </c>
      <c r="C67" s="26" t="s">
        <v>204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M67" s="15"/>
      <c r="N67" s="13"/>
      <c r="O67" s="14"/>
      <c r="P67" s="13"/>
      <c r="Q67" s="13"/>
      <c r="R67" s="13"/>
      <c r="S67" s="13"/>
      <c r="T67" s="13"/>
      <c r="U67" s="13"/>
    </row>
    <row r="68" spans="1:21" ht="15.75" thickBot="1" x14ac:dyDescent="0.25">
      <c r="A68" s="21"/>
      <c r="B68" s="11">
        <v>1</v>
      </c>
      <c r="C68" s="26" t="s">
        <v>140</v>
      </c>
      <c r="D68" s="23">
        <v>17</v>
      </c>
      <c r="E68" s="11">
        <v>10</v>
      </c>
      <c r="F68" s="11">
        <v>10</v>
      </c>
      <c r="G68" s="24">
        <v>37</v>
      </c>
      <c r="H68" s="11">
        <v>6.62</v>
      </c>
      <c r="I68" s="11">
        <v>6.39</v>
      </c>
      <c r="M68" s="15"/>
      <c r="N68" s="13"/>
      <c r="O68" s="14"/>
      <c r="P68" s="13"/>
      <c r="Q68" s="13"/>
      <c r="R68" s="13"/>
      <c r="S68" s="13"/>
      <c r="T68" s="13"/>
      <c r="U68" s="13"/>
    </row>
    <row r="69" spans="1:21" ht="15.75" thickBot="1" x14ac:dyDescent="0.25">
      <c r="A69" s="21"/>
      <c r="B69" s="11" t="s">
        <v>265</v>
      </c>
      <c r="C69" s="26" t="s">
        <v>205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M69" s="15"/>
      <c r="N69" s="13"/>
      <c r="O69" s="14"/>
      <c r="P69" s="13"/>
      <c r="Q69" s="13"/>
      <c r="R69" s="13"/>
      <c r="S69" s="13"/>
      <c r="T69" s="13"/>
      <c r="U69" s="13"/>
    </row>
    <row r="70" spans="1:21" ht="15.75" thickBot="1" x14ac:dyDescent="0.25">
      <c r="A70" s="21"/>
      <c r="B70" s="11" t="s">
        <v>265</v>
      </c>
      <c r="C70" s="26" t="s">
        <v>206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M70" s="15"/>
      <c r="N70" s="13"/>
      <c r="O70" s="14"/>
      <c r="P70" s="13"/>
      <c r="Q70" s="13"/>
      <c r="R70" s="13"/>
      <c r="S70" s="13"/>
      <c r="T70" s="13"/>
      <c r="U70" s="13"/>
    </row>
    <row r="71" spans="1:21" ht="15.75" thickBot="1" x14ac:dyDescent="0.25">
      <c r="A71" s="21"/>
      <c r="B71" s="11">
        <v>21</v>
      </c>
      <c r="C71" s="26" t="s">
        <v>207</v>
      </c>
      <c r="D71" s="11">
        <v>0</v>
      </c>
      <c r="E71" s="11">
        <v>3</v>
      </c>
      <c r="F71" s="11">
        <v>1</v>
      </c>
      <c r="G71" s="11">
        <v>4</v>
      </c>
      <c r="H71" s="11">
        <v>0.11</v>
      </c>
      <c r="I71" s="11">
        <v>0.21</v>
      </c>
      <c r="M71" s="15"/>
      <c r="N71" s="13"/>
      <c r="O71" s="14"/>
      <c r="P71" s="13"/>
      <c r="Q71" s="13"/>
      <c r="R71" s="13"/>
      <c r="S71" s="13"/>
      <c r="T71" s="13"/>
      <c r="U71" s="13"/>
    </row>
    <row r="72" spans="1:21" ht="15.75" thickBot="1" x14ac:dyDescent="0.25">
      <c r="A72" s="21"/>
      <c r="B72" s="11" t="s">
        <v>265</v>
      </c>
      <c r="C72" s="26" t="s">
        <v>208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M72" s="15"/>
      <c r="N72" s="13"/>
      <c r="O72" s="14"/>
      <c r="P72" s="13"/>
      <c r="Q72" s="13"/>
      <c r="R72" s="13"/>
      <c r="S72" s="13"/>
      <c r="T72" s="13"/>
      <c r="U72" s="13"/>
    </row>
    <row r="73" spans="1:21" ht="15.75" thickBot="1" x14ac:dyDescent="0.25">
      <c r="A73" s="21"/>
      <c r="B73" s="11" t="s">
        <v>265</v>
      </c>
      <c r="C73" s="26" t="s">
        <v>209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M73" s="15"/>
      <c r="N73" s="13"/>
      <c r="O73" s="14"/>
      <c r="P73" s="13"/>
      <c r="Q73" s="13"/>
      <c r="R73" s="13"/>
      <c r="S73" s="13"/>
      <c r="T73" s="13"/>
      <c r="U73" s="13"/>
    </row>
    <row r="74" spans="1:21" ht="15.75" thickBot="1" x14ac:dyDescent="0.25">
      <c r="A74" s="21"/>
      <c r="B74" s="11" t="s">
        <v>265</v>
      </c>
      <c r="C74" s="26" t="s">
        <v>210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M74" s="15"/>
      <c r="N74" s="13"/>
      <c r="O74" s="14"/>
      <c r="P74" s="13"/>
      <c r="Q74" s="13"/>
      <c r="R74" s="13"/>
      <c r="S74" s="13"/>
      <c r="T74" s="13"/>
      <c r="U74" s="13"/>
    </row>
    <row r="75" spans="1:21" ht="15.75" thickBot="1" x14ac:dyDescent="0.25">
      <c r="A75" s="21"/>
      <c r="B75" s="11" t="s">
        <v>265</v>
      </c>
      <c r="C75" s="26" t="s">
        <v>211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M75" s="15"/>
      <c r="N75" s="13"/>
      <c r="O75" s="14"/>
      <c r="P75" s="13"/>
      <c r="Q75" s="13"/>
      <c r="R75" s="13"/>
      <c r="S75" s="13"/>
      <c r="T75" s="13"/>
      <c r="U75" s="13"/>
    </row>
    <row r="76" spans="1:21" ht="15.75" thickBot="1" x14ac:dyDescent="0.25">
      <c r="A76" s="21"/>
      <c r="B76" s="11" t="s">
        <v>265</v>
      </c>
      <c r="C76" s="26" t="s">
        <v>212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M76" s="15"/>
      <c r="N76" s="13"/>
      <c r="O76" s="14"/>
      <c r="P76" s="13"/>
      <c r="Q76" s="13"/>
      <c r="R76" s="13"/>
      <c r="S76" s="13"/>
      <c r="T76" s="13"/>
      <c r="U76" s="13"/>
    </row>
    <row r="77" spans="1:21" ht="15.75" thickBot="1" x14ac:dyDescent="0.25">
      <c r="A77" s="21"/>
      <c r="B77" s="11" t="s">
        <v>265</v>
      </c>
      <c r="C77" s="26" t="s">
        <v>213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M77" s="15"/>
      <c r="N77" s="13"/>
      <c r="O77" s="14"/>
      <c r="P77" s="13"/>
      <c r="Q77" s="13"/>
      <c r="R77" s="13"/>
      <c r="S77" s="13"/>
      <c r="T77" s="13"/>
      <c r="U77" s="13"/>
    </row>
    <row r="78" spans="1:21" ht="15.75" thickBot="1" x14ac:dyDescent="0.25">
      <c r="A78" s="21"/>
      <c r="B78" s="11" t="s">
        <v>265</v>
      </c>
      <c r="C78" s="26" t="s">
        <v>214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M78" s="15"/>
      <c r="N78" s="13"/>
      <c r="O78" s="14"/>
      <c r="P78" s="13"/>
      <c r="Q78" s="13"/>
      <c r="R78" s="13"/>
      <c r="S78" s="13"/>
      <c r="T78" s="13"/>
      <c r="U78" s="13"/>
    </row>
    <row r="79" spans="1:21" ht="15.75" thickBot="1" x14ac:dyDescent="0.25">
      <c r="A79" s="21"/>
      <c r="B79" s="11" t="s">
        <v>265</v>
      </c>
      <c r="C79" s="26" t="s">
        <v>215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M79" s="15"/>
      <c r="N79" s="13"/>
      <c r="O79" s="14"/>
      <c r="P79" s="13"/>
      <c r="Q79" s="13"/>
      <c r="R79" s="13"/>
      <c r="S79" s="13"/>
      <c r="T79" s="13"/>
      <c r="U79" s="13"/>
    </row>
    <row r="80" spans="1:21" ht="15.75" thickBot="1" x14ac:dyDescent="0.25">
      <c r="A80" s="21"/>
      <c r="B80" s="11">
        <v>17</v>
      </c>
      <c r="C80" s="26" t="s">
        <v>216</v>
      </c>
      <c r="D80" s="11">
        <v>2</v>
      </c>
      <c r="E80" s="11">
        <v>1</v>
      </c>
      <c r="F80" s="11">
        <v>1</v>
      </c>
      <c r="G80" s="11">
        <v>4</v>
      </c>
      <c r="H80" s="11">
        <v>1.88</v>
      </c>
      <c r="I80" s="11">
        <v>3.37</v>
      </c>
      <c r="M80" s="15"/>
      <c r="N80" s="13"/>
      <c r="O80" s="14"/>
      <c r="P80" s="13"/>
      <c r="Q80" s="13"/>
      <c r="R80" s="13"/>
      <c r="S80" s="13"/>
      <c r="T80" s="13"/>
      <c r="U80" s="13"/>
    </row>
    <row r="81" spans="1:21" ht="15.75" thickBot="1" x14ac:dyDescent="0.25">
      <c r="A81" s="21"/>
      <c r="B81" s="11" t="s">
        <v>265</v>
      </c>
      <c r="C81" s="26" t="s">
        <v>217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M81" s="15"/>
      <c r="N81" s="13"/>
      <c r="O81" s="14"/>
      <c r="P81" s="13"/>
      <c r="Q81" s="13"/>
      <c r="R81" s="13"/>
      <c r="S81" s="13"/>
      <c r="T81" s="13"/>
      <c r="U81" s="13"/>
    </row>
    <row r="82" spans="1:21" ht="15.75" thickBot="1" x14ac:dyDescent="0.25">
      <c r="A82" s="21"/>
      <c r="B82" s="11">
        <v>15</v>
      </c>
      <c r="C82" s="26" t="s">
        <v>218</v>
      </c>
      <c r="D82" s="11">
        <v>2</v>
      </c>
      <c r="E82" s="11">
        <v>2</v>
      </c>
      <c r="F82" s="11">
        <v>3</v>
      </c>
      <c r="G82" s="11">
        <v>7</v>
      </c>
      <c r="H82" s="11">
        <v>0.14000000000000001</v>
      </c>
      <c r="I82" s="11">
        <v>0.22</v>
      </c>
      <c r="M82" s="15"/>
      <c r="N82" s="13"/>
      <c r="O82" s="14"/>
      <c r="P82" s="13"/>
      <c r="Q82" s="13"/>
      <c r="R82" s="13"/>
      <c r="S82" s="13"/>
      <c r="T82" s="13"/>
      <c r="U82" s="13"/>
    </row>
    <row r="83" spans="1:21" ht="15.75" thickBot="1" x14ac:dyDescent="0.25">
      <c r="A83" s="21"/>
      <c r="B83" s="11">
        <v>18</v>
      </c>
      <c r="C83" s="26" t="s">
        <v>219</v>
      </c>
      <c r="D83" s="11">
        <v>1</v>
      </c>
      <c r="E83" s="11">
        <v>0</v>
      </c>
      <c r="F83" s="11">
        <v>1</v>
      </c>
      <c r="G83" s="11">
        <v>2</v>
      </c>
      <c r="H83" s="11">
        <v>0.04</v>
      </c>
      <c r="I83" s="11">
        <v>7.0000000000000007E-2</v>
      </c>
      <c r="M83" s="15"/>
      <c r="N83" s="13"/>
      <c r="O83" s="14"/>
      <c r="P83" s="13"/>
      <c r="Q83" s="13"/>
      <c r="R83" s="13"/>
      <c r="S83" s="13"/>
      <c r="T83" s="13"/>
      <c r="U83" s="13"/>
    </row>
    <row r="84" spans="1:21" ht="15.75" thickBot="1" x14ac:dyDescent="0.25">
      <c r="A84" s="21"/>
      <c r="B84" s="11">
        <v>7</v>
      </c>
      <c r="C84" s="26" t="s">
        <v>137</v>
      </c>
      <c r="D84" s="11">
        <v>6</v>
      </c>
      <c r="E84" s="11">
        <v>6</v>
      </c>
      <c r="F84" s="11">
        <v>4</v>
      </c>
      <c r="G84" s="11">
        <v>16</v>
      </c>
      <c r="H84" s="11">
        <v>1.51</v>
      </c>
      <c r="I84" s="11">
        <v>2.12</v>
      </c>
      <c r="M84" s="15"/>
      <c r="N84" s="13"/>
      <c r="O84" s="14"/>
      <c r="P84" s="13"/>
      <c r="Q84" s="13"/>
      <c r="R84" s="13"/>
      <c r="S84" s="13"/>
      <c r="T84" s="13"/>
      <c r="U84" s="13"/>
    </row>
    <row r="85" spans="1:21" ht="15.75" thickBot="1" x14ac:dyDescent="0.25">
      <c r="A85" s="21"/>
      <c r="B85" s="11">
        <v>7</v>
      </c>
      <c r="C85" s="26" t="s">
        <v>138</v>
      </c>
      <c r="D85" s="11">
        <v>6</v>
      </c>
      <c r="E85" s="11">
        <v>6</v>
      </c>
      <c r="F85" s="11">
        <v>4</v>
      </c>
      <c r="G85" s="11">
        <v>16</v>
      </c>
      <c r="H85" s="11">
        <v>1.79</v>
      </c>
      <c r="I85" s="11">
        <v>1.88</v>
      </c>
      <c r="M85" s="15"/>
      <c r="N85" s="13"/>
      <c r="O85" s="14"/>
      <c r="P85" s="13"/>
      <c r="Q85" s="13"/>
      <c r="R85" s="13"/>
      <c r="S85" s="13"/>
      <c r="T85" s="13"/>
      <c r="U85" s="13"/>
    </row>
    <row r="86" spans="1:21" ht="15.75" thickBot="1" x14ac:dyDescent="0.25">
      <c r="A86" s="21"/>
      <c r="B86" s="11" t="s">
        <v>265</v>
      </c>
      <c r="C86" s="26" t="s">
        <v>220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M86" s="15"/>
      <c r="N86" s="13"/>
      <c r="O86" s="14"/>
      <c r="P86" s="13"/>
      <c r="Q86" s="13"/>
      <c r="R86" s="13"/>
      <c r="S86" s="13"/>
      <c r="T86" s="13"/>
      <c r="U86" s="13"/>
    </row>
    <row r="87" spans="1:21" ht="15.75" thickBot="1" x14ac:dyDescent="0.25">
      <c r="A87" s="21"/>
      <c r="B87" s="11" t="s">
        <v>265</v>
      </c>
      <c r="C87" s="26" t="s">
        <v>221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M87" s="15"/>
      <c r="N87" s="13"/>
      <c r="O87" s="14"/>
      <c r="P87" s="13"/>
      <c r="Q87" s="13"/>
      <c r="R87" s="13"/>
      <c r="S87" s="13"/>
      <c r="T87" s="13"/>
      <c r="U87" s="13"/>
    </row>
    <row r="88" spans="1:21" ht="15.75" thickBot="1" x14ac:dyDescent="0.25">
      <c r="A88" s="21"/>
      <c r="B88" s="11" t="s">
        <v>265</v>
      </c>
      <c r="C88" s="26" t="s">
        <v>222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M88" s="15"/>
      <c r="N88" s="13"/>
      <c r="O88" s="14"/>
      <c r="P88" s="13"/>
      <c r="Q88" s="13"/>
      <c r="R88" s="13"/>
      <c r="S88" s="13"/>
      <c r="T88" s="13"/>
      <c r="U88" s="13"/>
    </row>
    <row r="89" spans="1:21" ht="15.75" thickBot="1" x14ac:dyDescent="0.25">
      <c r="A89" s="21"/>
      <c r="B89" s="11" t="s">
        <v>265</v>
      </c>
      <c r="C89" s="26" t="s">
        <v>223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M89" s="15"/>
      <c r="N89" s="13"/>
      <c r="O89" s="14"/>
      <c r="P89" s="13"/>
      <c r="Q89" s="13"/>
      <c r="R89" s="13"/>
      <c r="S89" s="13"/>
      <c r="T89" s="13"/>
      <c r="U89" s="13"/>
    </row>
    <row r="90" spans="1:21" ht="15.75" thickBot="1" x14ac:dyDescent="0.25">
      <c r="A90" s="21"/>
      <c r="B90" s="11" t="s">
        <v>265</v>
      </c>
      <c r="C90" s="26" t="s">
        <v>224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M90" s="15"/>
      <c r="N90" s="13"/>
      <c r="O90" s="14"/>
      <c r="P90" s="13"/>
      <c r="Q90" s="13"/>
      <c r="R90" s="13"/>
      <c r="S90" s="13"/>
      <c r="T90" s="13"/>
      <c r="U90" s="13"/>
    </row>
    <row r="91" spans="1:21" ht="15.75" thickBot="1" x14ac:dyDescent="0.25">
      <c r="A91" s="21"/>
      <c r="B91" s="11">
        <v>2</v>
      </c>
      <c r="C91" s="26" t="s">
        <v>225</v>
      </c>
      <c r="D91" s="11">
        <v>9</v>
      </c>
      <c r="E91" s="25">
        <v>12</v>
      </c>
      <c r="F91" s="11">
        <v>6</v>
      </c>
      <c r="G91" s="11">
        <v>27</v>
      </c>
      <c r="H91" s="11">
        <v>0.08</v>
      </c>
      <c r="I91" s="11">
        <v>0.09</v>
      </c>
      <c r="M91" s="15"/>
      <c r="N91" s="13"/>
      <c r="O91" s="14"/>
      <c r="P91" s="13"/>
      <c r="Q91" s="13"/>
      <c r="R91" s="13"/>
      <c r="S91" s="13"/>
      <c r="T91" s="13"/>
      <c r="U91" s="13"/>
    </row>
    <row r="92" spans="1:21" ht="15.75" thickBot="1" x14ac:dyDescent="0.25">
      <c r="A92" s="21"/>
      <c r="B92" s="11" t="s">
        <v>265</v>
      </c>
      <c r="C92" s="26" t="s">
        <v>226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M92" s="15"/>
      <c r="N92" s="13"/>
      <c r="O92" s="14"/>
      <c r="P92" s="13"/>
      <c r="Q92" s="13"/>
      <c r="R92" s="13"/>
      <c r="S92" s="13"/>
      <c r="T92" s="13"/>
      <c r="U92" s="13"/>
    </row>
    <row r="93" spans="1:21" ht="15.75" thickBot="1" x14ac:dyDescent="0.25">
      <c r="A93" s="21"/>
      <c r="B93" s="11" t="s">
        <v>265</v>
      </c>
      <c r="C93" s="26" t="s">
        <v>227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M93" s="15"/>
      <c r="N93" s="13"/>
      <c r="O93" s="14"/>
      <c r="P93" s="13"/>
      <c r="Q93" s="13"/>
      <c r="R93" s="13"/>
      <c r="S93" s="13"/>
      <c r="T93" s="13"/>
      <c r="U93" s="13"/>
    </row>
    <row r="94" spans="1:21" ht="15.75" thickBot="1" x14ac:dyDescent="0.25">
      <c r="A94" s="21"/>
      <c r="B94" s="11" t="s">
        <v>265</v>
      </c>
      <c r="C94" s="26" t="s">
        <v>228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M94" s="15"/>
      <c r="N94" s="13"/>
      <c r="O94" s="14"/>
      <c r="P94" s="13"/>
      <c r="Q94" s="13"/>
      <c r="R94" s="13"/>
      <c r="S94" s="13"/>
      <c r="T94" s="13"/>
      <c r="U94" s="13"/>
    </row>
    <row r="95" spans="1:21" ht="15.75" thickBot="1" x14ac:dyDescent="0.25">
      <c r="A95" s="12"/>
      <c r="B95" s="11"/>
      <c r="C95" s="19"/>
      <c r="D95" s="11"/>
      <c r="E95" s="11"/>
      <c r="F95" s="11"/>
      <c r="G95" s="11"/>
      <c r="H95" s="11"/>
      <c r="I95" s="11"/>
      <c r="M95" s="15"/>
      <c r="N95" s="13"/>
      <c r="O95" s="14"/>
      <c r="P95" s="13"/>
      <c r="Q95" s="13"/>
      <c r="R95" s="13"/>
      <c r="S95" s="13"/>
      <c r="T95" s="13"/>
      <c r="U95" s="13"/>
    </row>
    <row r="96" spans="1:21" ht="15.75" thickBot="1" x14ac:dyDescent="0.25">
      <c r="A96" s="12"/>
      <c r="B96" s="11"/>
      <c r="C96" s="19"/>
      <c r="D96" s="11"/>
      <c r="E96" s="11"/>
      <c r="F96" s="11"/>
      <c r="G96" s="11"/>
      <c r="H96" s="11"/>
      <c r="I96" s="11"/>
      <c r="M96" s="15"/>
      <c r="N96" s="13"/>
      <c r="O96" s="14"/>
      <c r="P96" s="13"/>
      <c r="Q96" s="13"/>
      <c r="R96" s="13"/>
      <c r="S96" s="13"/>
      <c r="T96" s="13"/>
      <c r="U96" s="13"/>
    </row>
    <row r="97" spans="1:21" ht="15.75" thickBot="1" x14ac:dyDescent="0.25">
      <c r="A97" s="12"/>
      <c r="B97" s="11"/>
      <c r="C97" s="19"/>
      <c r="D97" s="11"/>
      <c r="E97" s="11"/>
      <c r="F97" s="11"/>
      <c r="G97" s="11"/>
      <c r="H97" s="11"/>
      <c r="I97" s="11"/>
      <c r="M97" s="15"/>
      <c r="N97" s="13"/>
      <c r="O97" s="14"/>
      <c r="P97" s="13"/>
      <c r="Q97" s="13"/>
      <c r="R97" s="13"/>
      <c r="S97" s="13"/>
      <c r="T97" s="13"/>
      <c r="U97" s="13"/>
    </row>
    <row r="98" spans="1:21" ht="15.75" thickBot="1" x14ac:dyDescent="0.25">
      <c r="A98" s="16"/>
      <c r="B98" s="17"/>
      <c r="C98" s="18" t="s">
        <v>238</v>
      </c>
      <c r="D98" s="17">
        <v>0</v>
      </c>
      <c r="E98" s="17">
        <v>1</v>
      </c>
      <c r="F98" s="17">
        <v>0</v>
      </c>
      <c r="G98" s="17">
        <v>1</v>
      </c>
      <c r="H98" s="17">
        <v>0</v>
      </c>
      <c r="I98" s="17">
        <v>0</v>
      </c>
      <c r="M98" s="15"/>
      <c r="N98" s="13"/>
      <c r="O98" s="14"/>
      <c r="P98" s="13"/>
      <c r="Q98" s="13"/>
      <c r="R98" s="13"/>
      <c r="S98" s="13"/>
      <c r="T98" s="13"/>
      <c r="U98" s="1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4.25" x14ac:dyDescent="0.2"/>
  <sheetData>
    <row r="1" spans="1:2" x14ac:dyDescent="0.2">
      <c r="A1" t="s">
        <v>104</v>
      </c>
    </row>
    <row r="2" spans="1:2" x14ac:dyDescent="0.2">
      <c r="A2" t="s">
        <v>105</v>
      </c>
      <c r="B2" t="s">
        <v>107</v>
      </c>
    </row>
    <row r="3" spans="1:2" x14ac:dyDescent="0.2">
      <c r="A3" t="s">
        <v>106</v>
      </c>
      <c r="B3" t="s">
        <v>107</v>
      </c>
    </row>
    <row r="4" spans="1:2" x14ac:dyDescent="0.2">
      <c r="A4" t="s">
        <v>108</v>
      </c>
      <c r="B4" t="s">
        <v>107</v>
      </c>
    </row>
    <row r="5" spans="1:2" x14ac:dyDescent="0.2">
      <c r="A5" t="s">
        <v>110</v>
      </c>
      <c r="B5" t="s">
        <v>107</v>
      </c>
    </row>
    <row r="6" spans="1:2" x14ac:dyDescent="0.2">
      <c r="A6" t="s">
        <v>113</v>
      </c>
      <c r="B6" t="s">
        <v>107</v>
      </c>
    </row>
    <row r="7" spans="1:2" x14ac:dyDescent="0.2">
      <c r="A7" t="s">
        <v>116</v>
      </c>
      <c r="B7" t="s">
        <v>107</v>
      </c>
    </row>
    <row r="8" spans="1:2" x14ac:dyDescent="0.2">
      <c r="A8" t="s">
        <v>115</v>
      </c>
    </row>
    <row r="9" spans="1:2" x14ac:dyDescent="0.2">
      <c r="A9" t="s">
        <v>118</v>
      </c>
      <c r="B9" t="s">
        <v>107</v>
      </c>
    </row>
    <row r="10" spans="1:2" x14ac:dyDescent="0.2">
      <c r="A10" t="s">
        <v>119</v>
      </c>
      <c r="B10" t="s">
        <v>107</v>
      </c>
    </row>
    <row r="11" spans="1:2" x14ac:dyDescent="0.2">
      <c r="A11" t="s">
        <v>121</v>
      </c>
      <c r="B11" t="s">
        <v>107</v>
      </c>
    </row>
    <row r="12" spans="1:2" x14ac:dyDescent="0.2">
      <c r="A12" t="s">
        <v>122</v>
      </c>
      <c r="B12" t="s">
        <v>107</v>
      </c>
    </row>
    <row r="13" spans="1:2" x14ac:dyDescent="0.2">
      <c r="A13" t="s">
        <v>123</v>
      </c>
      <c r="B13" t="s">
        <v>107</v>
      </c>
    </row>
    <row r="14" spans="1:2" x14ac:dyDescent="0.2">
      <c r="A14" t="s">
        <v>114</v>
      </c>
    </row>
    <row r="15" spans="1:2" x14ac:dyDescent="0.2">
      <c r="A15" t="s">
        <v>125</v>
      </c>
      <c r="B15" t="s">
        <v>107</v>
      </c>
    </row>
    <row r="16" spans="1:2" x14ac:dyDescent="0.2">
      <c r="A16" t="s">
        <v>126</v>
      </c>
      <c r="B16" t="s">
        <v>107</v>
      </c>
    </row>
    <row r="17" spans="1:2" x14ac:dyDescent="0.2">
      <c r="A17" t="s">
        <v>128</v>
      </c>
      <c r="B17" t="s">
        <v>107</v>
      </c>
    </row>
    <row r="18" spans="1:2" x14ac:dyDescent="0.2">
      <c r="A18" t="s">
        <v>129</v>
      </c>
      <c r="B18" t="s">
        <v>107</v>
      </c>
    </row>
    <row r="19" spans="1:2" x14ac:dyDescent="0.2">
      <c r="A19" t="s">
        <v>129</v>
      </c>
      <c r="B19" t="s">
        <v>107</v>
      </c>
    </row>
    <row r="20" spans="1:2" x14ac:dyDescent="0.2">
      <c r="A20" t="s">
        <v>132</v>
      </c>
      <c r="B20" t="s">
        <v>107</v>
      </c>
    </row>
    <row r="21" spans="1:2" x14ac:dyDescent="0.2">
      <c r="A21" t="s">
        <v>132</v>
      </c>
      <c r="B21" t="s">
        <v>107</v>
      </c>
    </row>
    <row r="22" spans="1:2" x14ac:dyDescent="0.2">
      <c r="A22" t="s">
        <v>133</v>
      </c>
      <c r="B22" t="s">
        <v>107</v>
      </c>
    </row>
    <row r="23" spans="1:2" x14ac:dyDescent="0.2">
      <c r="A23" t="s">
        <v>134</v>
      </c>
      <c r="B23" t="s">
        <v>107</v>
      </c>
    </row>
    <row r="24" spans="1:2" x14ac:dyDescent="0.2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2026-02-20T18:48:34Z</dcterms:modified>
</cp:coreProperties>
</file>