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ECA3AEB6-BE45-4CC6-AFFD-30E6D3E26FDF}" xr6:coauthVersionLast="47" xr6:coauthVersionMax="47" xr10:uidLastSave="{00000000-0000-0000-0000-000000000000}"/>
  <bookViews>
    <workbookView xWindow="-108" yWindow="-108" windowWidth="23256" windowHeight="12456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<sst xmlns="http://schemas.openxmlformats.org/spreadsheetml/2006/main" count="457" uniqueCount="268">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</sst>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8"/>
      <color rgb="FF000000"/>
      <name val="Courier New"/>
      <family val="3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righ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right" vertical="center" wrapText="1"/>
    </xf>
    <xf numFmtId="0" fontId="13" fillId="6" borderId="1" xfId="0" applyFont="1" applyFill="1" applyBorder="1" applyAlignment="1">
      <alignment horizontal="right" vertical="center" wrapText="1"/>
    </xf>
    <xf numFmtId="0" fontId="13" fillId="8" borderId="1" xfId="0" applyFont="1" applyFill="1" applyBorder="1" applyAlignment="1">
      <alignment horizontal="right" vertical="center" wrapText="1"/>
    </xf>
    <xf numFmtId="0" fontId="13" fillId="7" borderId="1" xfId="0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F20" sqref="F20"/>
    </sheetView>
  </sheetViews>
  <sheetFormatPr defaultRowHeight="13.8" x14ac:dyDescent="0.25"/>
  <cols>
    <col min="1" max="1" width="56.3984375" customWidth="1"/>
  </cols>
  <sheetData>
    <row r="1" spans="1:2" x14ac:dyDescent="0.25">
      <c r="A1" t="s">
        <v>242</v>
      </c>
      <c r="B1" t="s">
        <v>243</v>
      </c>
    </row>
    <row r="2" spans="1:2" x14ac:dyDescent="0.25">
      <c r="A2" t="s">
        <v>267</v>
      </c>
      <c r="B2">
        <f>Events!U95</f>
        <v>112</v>
      </c>
    </row>
    <row r="3" spans="1:2" x14ac:dyDescent="0.25">
      <c r="A3" t="s">
        <v>266</v>
      </c>
      <c r="B3">
        <f>Events!Y95</f>
        <v>117</v>
      </c>
    </row>
    <row r="4" spans="1:2" x14ac:dyDescent="0.25">
      <c r="A4" t="s">
        <v>259</v>
      </c>
      <c r="B4">
        <f>Events!AI95</f>
        <v>121</v>
      </c>
    </row>
    <row r="5" spans="1:2" x14ac:dyDescent="0.25">
      <c r="A5" t="s">
        <v>256</v>
      </c>
      <c r="B5">
        <f>Events!N95</f>
        <v>126</v>
      </c>
    </row>
    <row r="6" spans="1:2" x14ac:dyDescent="0.25">
      <c r="A6" t="s">
        <v>245</v>
      </c>
      <c r="B6">
        <f>Events!W95</f>
        <v>112</v>
      </c>
    </row>
    <row r="7" spans="1:2" x14ac:dyDescent="0.25">
      <c r="A7" t="s">
        <v>260</v>
      </c>
      <c r="B7">
        <f>Events!O95</f>
        <v>97</v>
      </c>
    </row>
    <row r="8" spans="1:2" x14ac:dyDescent="0.25">
      <c r="A8" t="s">
        <v>257</v>
      </c>
      <c r="B8">
        <f>Events!AH95</f>
        <v>101</v>
      </c>
    </row>
    <row r="9" spans="1:2" x14ac:dyDescent="0.25">
      <c r="A9" t="s">
        <v>251</v>
      </c>
      <c r="B9">
        <f>Events!Q95</f>
        <v>95</v>
      </c>
    </row>
    <row r="10" spans="1:2" x14ac:dyDescent="0.25">
      <c r="A10" t="s">
        <v>261</v>
      </c>
      <c r="B10">
        <f>Events!S95</f>
        <v>87</v>
      </c>
    </row>
    <row r="11" spans="1:2" x14ac:dyDescent="0.25">
      <c r="A11" t="s">
        <v>262</v>
      </c>
      <c r="B11">
        <f>Events!R95</f>
        <v>88</v>
      </c>
    </row>
    <row r="12" spans="1:2" x14ac:dyDescent="0.25">
      <c r="A12" t="s">
        <v>263</v>
      </c>
      <c r="B12">
        <f>Events!AF95</f>
        <v>87</v>
      </c>
    </row>
    <row r="13" spans="1:2" x14ac:dyDescent="0.25">
      <c r="A13" t="s">
        <v>264</v>
      </c>
      <c r="B13">
        <f>Events!X95</f>
        <v>96</v>
      </c>
    </row>
    <row r="14" spans="1:2" x14ac:dyDescent="0.25">
      <c r="A14" t="s">
        <v>244</v>
      </c>
      <c r="B14">
        <f>Events!AE95</f>
        <v>72</v>
      </c>
    </row>
    <row r="15" spans="1:2" x14ac:dyDescent="0.25">
      <c r="A15" t="s">
        <v>249</v>
      </c>
      <c r="B15">
        <f>Events!AB95</f>
        <v>78</v>
      </c>
    </row>
    <row r="16" spans="1:2" x14ac:dyDescent="0.25">
      <c r="A16" t="s">
        <v>248</v>
      </c>
      <c r="B16">
        <f>Events!AD95</f>
        <v>85</v>
      </c>
    </row>
    <row r="17" spans="1:2" x14ac:dyDescent="0.25">
      <c r="A17" t="s">
        <v>258</v>
      </c>
      <c r="B17">
        <f>Events!AG95</f>
        <v>72</v>
      </c>
    </row>
    <row r="18" spans="1:2" x14ac:dyDescent="0.25">
      <c r="A18" t="s">
        <v>246</v>
      </c>
      <c r="B18">
        <f>Events!AA95</f>
        <v>72</v>
      </c>
    </row>
    <row r="19" spans="1:2" x14ac:dyDescent="0.25">
      <c r="A19" t="s">
        <v>247</v>
      </c>
      <c r="B19">
        <f>Events!AC95</f>
        <v>72</v>
      </c>
    </row>
    <row r="20" spans="1:2" x14ac:dyDescent="0.25">
      <c r="A20" t="s">
        <v>254</v>
      </c>
      <c r="B20">
        <f>Events!P95</f>
        <v>79</v>
      </c>
    </row>
    <row r="21" spans="1:2" x14ac:dyDescent="0.25">
      <c r="A21" t="s">
        <v>252</v>
      </c>
      <c r="B21">
        <f>Events!V95</f>
        <v>85</v>
      </c>
    </row>
    <row r="22" spans="1:2" x14ac:dyDescent="0.25">
      <c r="A22" t="s">
        <v>253</v>
      </c>
      <c r="B22">
        <f>Events!T95</f>
        <v>69</v>
      </c>
    </row>
    <row r="23" spans="1:2" x14ac:dyDescent="0.25">
      <c r="A23" t="s">
        <v>255</v>
      </c>
      <c r="B23">
        <f>Events!M95</f>
        <v>73</v>
      </c>
    </row>
    <row r="24" spans="1:2" x14ac:dyDescent="0.25">
      <c r="A24" t="s">
        <v>250</v>
      </c>
      <c r="B24">
        <f>Events!Z95</f>
        <v>62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3.8" x14ac:dyDescent="0.25"/>
  <cols>
    <col min="1" max="2" width="19.5" bestFit="1" customWidth="1"/>
    <col min="3" max="3" width="19.5" customWidth="1"/>
    <col min="4" max="4" width="9.09765625" bestFit="1" customWidth="1"/>
    <col min="5" max="5" width="9.8984375" bestFit="1" customWidth="1"/>
    <col min="6" max="6" width="11.19921875" bestFit="1" customWidth="1"/>
    <col min="7" max="7" width="4.69921875" bestFit="1" customWidth="1"/>
    <col min="8" max="8" width="15.59765625" bestFit="1" customWidth="1"/>
    <col min="9" max="9" width="9.09765625" bestFit="1" customWidth="1"/>
    <col min="10" max="10" width="9.8984375" bestFit="1" customWidth="1"/>
    <col min="11" max="11" width="11.19921875" bestFit="1" customWidth="1"/>
    <col min="12" max="12" width="10.5" bestFit="1" customWidth="1"/>
    <col min="13" max="13" width="20" customWidth="1"/>
    <col min="14" max="14" width="15.69921875" customWidth="1"/>
    <col min="15" max="15" width="18" customWidth="1"/>
  </cols>
  <sheetData>
    <row r="1" spans="1:35" x14ac:dyDescent="0.25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5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5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5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5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5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2</v>
      </c>
      <c r="L6">
        <f>SUM((I6*3)+(J6*2)+(K6*1))</f>
        <v>15</v>
      </c>
      <c r="X6">
        <v>1</v>
      </c>
    </row>
    <row r="7" spans="1:35" x14ac:dyDescent="0.25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4</v>
      </c>
      <c r="L7">
        <f>SUM((I7*3)+(J7*2)+(K7*1))</f>
        <v>35</v>
      </c>
      <c r="U7">
        <v>1</v>
      </c>
      <c r="X7">
        <v>1</v>
      </c>
      <c r="AB7">
        <v>1</v>
      </c>
    </row>
    <row r="8" spans="1:35" x14ac:dyDescent="0.25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5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5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5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7.6" x14ac:dyDescent="0.25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5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5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5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4</v>
      </c>
      <c r="J15" cm="1">
        <f t="array" ref="J15">INDEX('Medal Count'!E:E,Events!$C15)</f>
        <v>4</v>
      </c>
      <c r="K15" cm="1">
        <f t="array" ref="K15">INDEX('Medal Count'!F:F,Events!$C15)</f>
        <v>6</v>
      </c>
      <c r="L15">
        <f>SUM((I15*3)+(J15*2)+(K15*1))</f>
        <v>26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5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5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2</v>
      </c>
      <c r="J17" cm="1">
        <f t="array" ref="J17">INDEX('Medal Count'!E:E,Events!$C17)</f>
        <v>3</v>
      </c>
      <c r="K17" cm="1">
        <f t="array" ref="K17">INDEX('Medal Count'!F:F,Events!$C17)</f>
        <v>4</v>
      </c>
      <c r="L17">
        <f>SUM((I17*3)+(J17*2)+(K17*1))</f>
        <v>16</v>
      </c>
      <c r="Z17">
        <v>1</v>
      </c>
      <c r="AB17">
        <v>1</v>
      </c>
    </row>
    <row r="18" spans="1:34" x14ac:dyDescent="0.25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5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5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x14ac:dyDescent="0.25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5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5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5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5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5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4</v>
      </c>
      <c r="L26">
        <f t="shared" si="5"/>
        <v>6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5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6</v>
      </c>
      <c r="J27" cm="1">
        <f t="array" ref="J27">INDEX('Medal Count'!E:E,Events!$C27)</f>
        <v>8</v>
      </c>
      <c r="K27" cm="1">
        <f t="array" ref="K27">INDEX('Medal Count'!F:F,Events!$C27)</f>
        <v>5</v>
      </c>
      <c r="L27">
        <f t="shared" si="5"/>
        <v>39</v>
      </c>
      <c r="N27">
        <v>1</v>
      </c>
      <c r="X27">
        <v>1</v>
      </c>
    </row>
    <row r="28" spans="1:34" x14ac:dyDescent="0.25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5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5</v>
      </c>
      <c r="J29" cm="1">
        <f t="array" ref="J29">INDEX('Medal Count'!E:E,Events!$C29)</f>
        <v>8</v>
      </c>
      <c r="K29" cm="1">
        <f t="array" ref="K29">INDEX('Medal Count'!F:F,Events!$C29)</f>
        <v>8</v>
      </c>
      <c r="L29">
        <f t="shared" ref="L29:L30" si="6">SUM((I29*3)+(J29*2)+(K29*1))</f>
        <v>39</v>
      </c>
      <c r="M29">
        <v>1</v>
      </c>
      <c r="Z29">
        <v>1</v>
      </c>
      <c r="AA29">
        <v>1</v>
      </c>
      <c r="AC29">
        <v>1</v>
      </c>
    </row>
    <row r="30" spans="1:34" x14ac:dyDescent="0.25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5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5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5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5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5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5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5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7.6" x14ac:dyDescent="0.25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5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5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5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5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9</v>
      </c>
      <c r="J42" cm="1">
        <f t="array" ref="J42">INDEX('Medal Count'!E:E,Events!$C42)</f>
        <v>5</v>
      </c>
      <c r="K42" cm="1">
        <f t="array" ref="K42">INDEX('Medal Count'!F:F,Events!$C42)</f>
        <v>12</v>
      </c>
      <c r="L42">
        <f>SUM((I42*3)+(J42*2)+(K42*1))</f>
        <v>49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5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5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6</v>
      </c>
      <c r="K44" cm="1">
        <f t="array" ref="K44">INDEX('Medal Count'!F:F,Events!$C44)</f>
        <v>11</v>
      </c>
      <c r="L44">
        <f>SUM((I44*3)+(J44*2)+(K44*1))</f>
        <v>38</v>
      </c>
      <c r="AI44">
        <v>1</v>
      </c>
    </row>
    <row r="45" spans="1:35" x14ac:dyDescent="0.25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5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5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5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5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5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5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5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5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5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5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5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5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5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5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5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5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5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5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6</v>
      </c>
      <c r="J63" cm="1">
        <f t="array" ref="J63">INDEX('Medal Count'!E:E,Events!$C63)</f>
        <v>7</v>
      </c>
      <c r="K63" cm="1">
        <f t="array" ref="K63">INDEX('Medal Count'!F:F,Events!$C63)</f>
        <v>2</v>
      </c>
      <c r="L63">
        <f t="shared" ref="L63:L64" si="11">SUM((I63*3)+(J63*2)+(K63*1))</f>
        <v>34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5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5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5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5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16</v>
      </c>
      <c r="J67" cm="1">
        <f t="array" ref="J67">INDEX('Medal Count'!E:E,Events!$C67)</f>
        <v>8</v>
      </c>
      <c r="K67" cm="1">
        <f t="array" ref="K67">INDEX('Medal Count'!F:F,Events!$C67)</f>
        <v>10</v>
      </c>
      <c r="L67">
        <f>SUM((I67*3)+(J67*2)+(K67*1))</f>
        <v>74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5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5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5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5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5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5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5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5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5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5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5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5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5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2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5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1</v>
      </c>
      <c r="L81">
        <f t="shared" si="17"/>
        <v>4</v>
      </c>
      <c r="AB81">
        <v>1</v>
      </c>
    </row>
    <row r="82" spans="1:35" x14ac:dyDescent="0.25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6</v>
      </c>
      <c r="J82" cm="1">
        <f t="array" ref="J82">INDEX('Medal Count'!E:E,Events!$C82)</f>
        <v>6</v>
      </c>
      <c r="K82" cm="1">
        <f t="array" ref="K82">INDEX('Medal Count'!F:F,Events!$C82)</f>
        <v>3</v>
      </c>
      <c r="L82">
        <f t="shared" si="17"/>
        <v>33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5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4</v>
      </c>
      <c r="K83" cm="1">
        <f t="array" ref="K83">INDEX('Medal Count'!F:F,Events!$C83)</f>
        <v>3</v>
      </c>
      <c r="L83">
        <f t="shared" si="17"/>
        <v>29</v>
      </c>
      <c r="W83">
        <v>1</v>
      </c>
      <c r="AE83">
        <v>1</v>
      </c>
    </row>
    <row r="84" spans="1:35" x14ac:dyDescent="0.25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5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7.6" x14ac:dyDescent="0.25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5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5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7.6" x14ac:dyDescent="0.25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5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7</v>
      </c>
      <c r="J90" cm="1">
        <f t="array" ref="J90">INDEX('Medal Count'!E:E,Events!$C90)</f>
        <v>11</v>
      </c>
      <c r="K90" cm="1">
        <f t="array" ref="K90">INDEX('Medal Count'!F:F,Events!$C90)</f>
        <v>6</v>
      </c>
      <c r="L90">
        <f>SUM((I90*3)+(J90*2)+(K90*1))</f>
        <v>49</v>
      </c>
      <c r="V90">
        <v>1</v>
      </c>
      <c r="Y90">
        <v>1</v>
      </c>
      <c r="AD90">
        <v>1</v>
      </c>
      <c r="AH90">
        <v>1</v>
      </c>
    </row>
    <row r="91" spans="1:35" x14ac:dyDescent="0.25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5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5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5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5">
      <c r="A95" t="s">
        <v>101</v>
      </c>
      <c r="D95" s="4"/>
      <c r="E95" s="6"/>
      <c r="F95" s="2"/>
      <c r="G95" s="8"/>
      <c r="M95">
        <f t="shared" ref="M95:AI95" si="21">SUMIF(M$2:M$93,1,$L$2:$L$93)</f>
        <v>73</v>
      </c>
      <c r="N95">
        <f t="shared" si="21"/>
        <v>126</v>
      </c>
      <c r="O95">
        <f t="shared" si="21"/>
        <v>97</v>
      </c>
      <c r="P95">
        <f t="shared" si="21"/>
        <v>79</v>
      </c>
      <c r="Q95">
        <f t="shared" si="21"/>
        <v>95</v>
      </c>
      <c r="R95">
        <f t="shared" si="21"/>
        <v>88</v>
      </c>
      <c r="S95">
        <f t="shared" si="21"/>
        <v>87</v>
      </c>
      <c r="T95">
        <f t="shared" si="21"/>
        <v>69</v>
      </c>
      <c r="U95">
        <f t="shared" si="21"/>
        <v>112</v>
      </c>
      <c r="V95">
        <f t="shared" si="21"/>
        <v>85</v>
      </c>
      <c r="W95">
        <f t="shared" si="21"/>
        <v>112</v>
      </c>
      <c r="X95">
        <f t="shared" si="21"/>
        <v>96</v>
      </c>
      <c r="Y95">
        <f t="shared" si="21"/>
        <v>117</v>
      </c>
      <c r="Z95">
        <f t="shared" si="21"/>
        <v>62</v>
      </c>
      <c r="AA95">
        <f t="shared" si="21"/>
        <v>72</v>
      </c>
      <c r="AB95">
        <f t="shared" si="21"/>
        <v>78</v>
      </c>
      <c r="AC95">
        <f t="shared" si="21"/>
        <v>72</v>
      </c>
      <c r="AD95">
        <f t="shared" si="21"/>
        <v>85</v>
      </c>
      <c r="AE95">
        <f t="shared" si="21"/>
        <v>72</v>
      </c>
      <c r="AF95">
        <f t="shared" si="21"/>
        <v>87</v>
      </c>
      <c r="AG95">
        <f t="shared" si="21"/>
        <v>72</v>
      </c>
      <c r="AH95">
        <f t="shared" si="21"/>
        <v>101</v>
      </c>
      <c r="AI95">
        <f t="shared" si="21"/>
        <v>121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H98"/>
  <sheetViews>
    <sheetView tabSelected="1" topLeftCell="A75" workbookViewId="0">
      <selection activeCell="K90" sqref="K90"/>
    </sheetView>
  </sheetViews>
  <sheetFormatPr defaultRowHeight="13.8" x14ac:dyDescent="0.25"/>
  <cols>
    <col min="1" max="1" width="9" customWidth="1"/>
    <col min="2" max="2" width="6" customWidth="1"/>
    <col min="3" max="3" width="27.3984375" customWidth="1"/>
    <col min="4" max="4" width="10.8984375" bestFit="1" customWidth="1"/>
    <col min="5" max="5" width="11.59765625" bestFit="1" customWidth="1"/>
    <col min="6" max="6" width="13.09765625" bestFit="1" customWidth="1"/>
    <col min="7" max="7" width="11.09765625" bestFit="1" customWidth="1"/>
    <col min="8" max="8" width="8.5" bestFit="1" customWidth="1"/>
    <col min="9" max="9" width="11.09765625" bestFit="1" customWidth="1"/>
  </cols>
  <sheetData>
    <row r="1" spans="1:34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4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4" ht="15" thickBot="1" x14ac:dyDescent="0.3">
      <c r="B3" s="21" t="s">
        <v>265</v>
      </c>
      <c r="C3" s="27" t="s">
        <v>141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AA3" s="13"/>
      <c r="AB3" s="14"/>
      <c r="AC3" s="13"/>
      <c r="AD3" s="13"/>
      <c r="AE3" s="13"/>
      <c r="AF3" s="13"/>
      <c r="AG3" s="13"/>
      <c r="AH3" s="13"/>
    </row>
    <row r="4" spans="1:34" ht="15" thickBot="1" x14ac:dyDescent="0.3">
      <c r="A4" s="22"/>
      <c r="B4" s="21" t="s">
        <v>265</v>
      </c>
      <c r="C4" s="27" t="s">
        <v>142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4" ht="15" thickBot="1" x14ac:dyDescent="0.3">
      <c r="A5" s="22"/>
      <c r="B5" s="21" t="s">
        <v>265</v>
      </c>
      <c r="C5" s="27" t="s">
        <v>143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4" ht="15" thickBot="1" x14ac:dyDescent="0.3">
      <c r="A6" s="22"/>
      <c r="B6" s="21" t="s">
        <v>265</v>
      </c>
      <c r="C6" s="27" t="s">
        <v>144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4" ht="15" thickBot="1" x14ac:dyDescent="0.3">
      <c r="A7" s="22"/>
      <c r="B7" s="21">
        <v>12</v>
      </c>
      <c r="C7" s="27" t="s">
        <v>145</v>
      </c>
      <c r="D7" s="21">
        <v>3</v>
      </c>
      <c r="E7" s="21">
        <v>2</v>
      </c>
      <c r="F7" s="21">
        <v>2</v>
      </c>
      <c r="G7" s="21">
        <v>7</v>
      </c>
      <c r="H7" s="21">
        <v>0.26</v>
      </c>
      <c r="I7" s="21">
        <v>0.37</v>
      </c>
      <c r="M7" s="15"/>
      <c r="N7" s="13"/>
      <c r="O7" s="14"/>
      <c r="P7" s="13"/>
      <c r="Q7" s="13"/>
      <c r="R7" s="13"/>
      <c r="S7" s="13"/>
      <c r="T7" s="13"/>
      <c r="U7" s="13"/>
    </row>
    <row r="8" spans="1:34" ht="15" thickBot="1" x14ac:dyDescent="0.3">
      <c r="A8" s="22"/>
      <c r="B8" s="21">
        <v>9</v>
      </c>
      <c r="C8" s="27" t="s">
        <v>146</v>
      </c>
      <c r="D8" s="21">
        <v>5</v>
      </c>
      <c r="E8" s="21">
        <v>8</v>
      </c>
      <c r="F8" s="21">
        <v>4</v>
      </c>
      <c r="G8" s="21">
        <v>17</v>
      </c>
      <c r="H8" s="21">
        <v>1.86</v>
      </c>
      <c r="I8" s="21">
        <v>2.54</v>
      </c>
      <c r="M8" s="15"/>
      <c r="N8" s="13"/>
      <c r="O8" s="14"/>
      <c r="P8" s="13"/>
      <c r="Q8" s="13"/>
      <c r="R8" s="13"/>
      <c r="S8" s="13"/>
      <c r="T8" s="13"/>
      <c r="U8" s="13"/>
    </row>
    <row r="9" spans="1:34" ht="15" thickBot="1" x14ac:dyDescent="0.3">
      <c r="A9" s="22"/>
      <c r="B9" s="21" t="s">
        <v>265</v>
      </c>
      <c r="C9" s="27" t="s">
        <v>147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4" ht="15" thickBot="1" x14ac:dyDescent="0.3">
      <c r="A10" s="22"/>
      <c r="B10" s="21">
        <v>27</v>
      </c>
      <c r="C10" s="27" t="s">
        <v>148</v>
      </c>
      <c r="D10" s="21">
        <v>0</v>
      </c>
      <c r="E10" s="21">
        <v>0</v>
      </c>
      <c r="F10" s="21">
        <v>1</v>
      </c>
      <c r="G10" s="21">
        <v>1</v>
      </c>
      <c r="H10" s="21">
        <v>0.08</v>
      </c>
      <c r="I10" s="2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4" ht="15" thickBot="1" x14ac:dyDescent="0.3">
      <c r="A11" s="22"/>
      <c r="B11" s="21" t="s">
        <v>265</v>
      </c>
      <c r="C11" s="27" t="s">
        <v>149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4" ht="15" thickBot="1" x14ac:dyDescent="0.3">
      <c r="A12" s="22"/>
      <c r="B12" s="21" t="s">
        <v>265</v>
      </c>
      <c r="C12" s="27" t="s">
        <v>150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4" ht="15" thickBot="1" x14ac:dyDescent="0.3">
      <c r="A13" s="22"/>
      <c r="B13" s="21" t="s">
        <v>265</v>
      </c>
      <c r="C13" s="27" t="s">
        <v>151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4" ht="15" thickBot="1" x14ac:dyDescent="0.3">
      <c r="A14" s="22"/>
      <c r="B14" s="21">
        <v>19</v>
      </c>
      <c r="C14" s="27" t="s">
        <v>152</v>
      </c>
      <c r="D14" s="21">
        <v>1</v>
      </c>
      <c r="E14" s="21">
        <v>0</v>
      </c>
      <c r="F14" s="21">
        <v>0</v>
      </c>
      <c r="G14" s="21">
        <v>1</v>
      </c>
      <c r="H14" s="21">
        <v>0</v>
      </c>
      <c r="I14" s="2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4" ht="15" thickBot="1" x14ac:dyDescent="0.3">
      <c r="A15" s="22"/>
      <c r="B15" s="21">
        <v>26</v>
      </c>
      <c r="C15" s="27" t="s">
        <v>153</v>
      </c>
      <c r="D15" s="21">
        <v>0</v>
      </c>
      <c r="E15" s="21">
        <v>0</v>
      </c>
      <c r="F15" s="21">
        <v>2</v>
      </c>
      <c r="G15" s="21">
        <v>2</v>
      </c>
      <c r="H15" s="21">
        <v>0.31</v>
      </c>
      <c r="I15" s="2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4" ht="15" thickBot="1" x14ac:dyDescent="0.3">
      <c r="A16" s="22"/>
      <c r="B16" s="21">
        <v>11</v>
      </c>
      <c r="C16" s="27" t="s">
        <v>154</v>
      </c>
      <c r="D16" s="21">
        <v>4</v>
      </c>
      <c r="E16" s="21">
        <v>4</v>
      </c>
      <c r="F16" s="21">
        <v>6</v>
      </c>
      <c r="G16" s="21">
        <v>14</v>
      </c>
      <c r="H16" s="21">
        <v>0.34</v>
      </c>
      <c r="I16" s="21">
        <v>0.53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" thickBot="1" x14ac:dyDescent="0.3">
      <c r="A17" s="22"/>
      <c r="B17" s="21" t="s">
        <v>265</v>
      </c>
      <c r="C17" s="27" t="s">
        <v>155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" thickBot="1" x14ac:dyDescent="0.3">
      <c r="A18" s="22"/>
      <c r="B18" s="21">
        <v>14</v>
      </c>
      <c r="C18" s="27" t="s">
        <v>156</v>
      </c>
      <c r="D18" s="21">
        <v>2</v>
      </c>
      <c r="E18" s="21">
        <v>3</v>
      </c>
      <c r="F18" s="21">
        <v>4</v>
      </c>
      <c r="G18" s="21">
        <v>9</v>
      </c>
      <c r="H18" s="21">
        <v>0.01</v>
      </c>
      <c r="I18" s="21">
        <v>0.02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" thickBot="1" x14ac:dyDescent="0.3">
      <c r="A19" s="22"/>
      <c r="B19" s="21" t="s">
        <v>265</v>
      </c>
      <c r="C19" s="27" t="s">
        <v>157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" thickBot="1" x14ac:dyDescent="0.3">
      <c r="A20" s="22"/>
      <c r="B20" s="21" t="s">
        <v>265</v>
      </c>
      <c r="C20" s="27" t="s">
        <v>158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" thickBot="1" x14ac:dyDescent="0.3">
      <c r="A21" s="22"/>
      <c r="B21" s="21" t="s">
        <v>265</v>
      </c>
      <c r="C21" s="27" t="s">
        <v>159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" thickBot="1" x14ac:dyDescent="0.3">
      <c r="A22" s="22"/>
      <c r="B22" s="21" t="s">
        <v>265</v>
      </c>
      <c r="C22" s="27" t="s">
        <v>160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" thickBot="1" x14ac:dyDescent="0.3">
      <c r="A23" s="22"/>
      <c r="B23" s="21">
        <v>16</v>
      </c>
      <c r="C23" s="27" t="s">
        <v>161</v>
      </c>
      <c r="D23" s="21">
        <v>2</v>
      </c>
      <c r="E23" s="21">
        <v>2</v>
      </c>
      <c r="F23" s="21">
        <v>0</v>
      </c>
      <c r="G23" s="21">
        <v>4</v>
      </c>
      <c r="H23" s="21">
        <v>0.37</v>
      </c>
      <c r="I23" s="2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" thickBot="1" x14ac:dyDescent="0.3">
      <c r="A24" s="22"/>
      <c r="B24" s="21" t="s">
        <v>265</v>
      </c>
      <c r="C24" s="27" t="s">
        <v>162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" thickBot="1" x14ac:dyDescent="0.3">
      <c r="A25" s="22"/>
      <c r="B25" s="21" t="s">
        <v>265</v>
      </c>
      <c r="C25" s="27" t="s">
        <v>163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" thickBot="1" x14ac:dyDescent="0.3">
      <c r="A26" s="22"/>
      <c r="B26" s="21" t="s">
        <v>265</v>
      </c>
      <c r="C26" s="27" t="s">
        <v>164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" thickBot="1" x14ac:dyDescent="0.3">
      <c r="A27" s="22"/>
      <c r="B27" s="21" t="s">
        <v>265</v>
      </c>
      <c r="C27" s="27" t="s">
        <v>165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" thickBot="1" x14ac:dyDescent="0.3">
      <c r="A28" s="22"/>
      <c r="B28" s="21">
        <v>23</v>
      </c>
      <c r="C28" s="27" t="s">
        <v>166</v>
      </c>
      <c r="D28" s="21">
        <v>0</v>
      </c>
      <c r="E28" s="21">
        <v>1</v>
      </c>
      <c r="F28" s="21">
        <v>4</v>
      </c>
      <c r="G28" s="21">
        <v>5</v>
      </c>
      <c r="H28" s="21">
        <v>0.89</v>
      </c>
      <c r="I28" s="21">
        <v>1.38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" thickBot="1" x14ac:dyDescent="0.3">
      <c r="A29" s="22"/>
      <c r="B29" s="21">
        <v>4</v>
      </c>
      <c r="C29" s="27" t="s">
        <v>167</v>
      </c>
      <c r="D29" s="21">
        <v>6</v>
      </c>
      <c r="E29" s="21">
        <v>8</v>
      </c>
      <c r="F29" s="21">
        <v>5</v>
      </c>
      <c r="G29" s="21">
        <v>19</v>
      </c>
      <c r="H29" s="21">
        <v>0.28000000000000003</v>
      </c>
      <c r="I29" s="21">
        <v>0.43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" thickBot="1" x14ac:dyDescent="0.3">
      <c r="A30" s="22"/>
      <c r="B30" s="21">
        <v>25</v>
      </c>
      <c r="C30" s="27" t="s">
        <v>168</v>
      </c>
      <c r="D30" s="21">
        <v>0</v>
      </c>
      <c r="E30" s="21">
        <v>1</v>
      </c>
      <c r="F30" s="21">
        <v>0</v>
      </c>
      <c r="G30" s="21">
        <v>1</v>
      </c>
      <c r="H30" s="21">
        <v>0.27</v>
      </c>
      <c r="I30" s="2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" thickBot="1" x14ac:dyDescent="0.3">
      <c r="A31" s="22"/>
      <c r="B31" s="21">
        <v>8</v>
      </c>
      <c r="C31" s="27" t="s">
        <v>169</v>
      </c>
      <c r="D31" s="21">
        <v>5</v>
      </c>
      <c r="E31" s="21">
        <v>8</v>
      </c>
      <c r="F31" s="21">
        <v>8</v>
      </c>
      <c r="G31" s="21">
        <v>21</v>
      </c>
      <c r="H31" s="21">
        <v>0.25</v>
      </c>
      <c r="I31" s="21">
        <v>0.35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" thickBot="1" x14ac:dyDescent="0.3">
      <c r="A32" s="22"/>
      <c r="B32" s="21">
        <v>13</v>
      </c>
      <c r="C32" s="27" t="s">
        <v>170</v>
      </c>
      <c r="D32" s="21">
        <v>3</v>
      </c>
      <c r="E32" s="21">
        <v>0</v>
      </c>
      <c r="F32" s="21">
        <v>0</v>
      </c>
      <c r="G32" s="21">
        <v>3</v>
      </c>
      <c r="H32" s="21">
        <v>0.04</v>
      </c>
      <c r="I32" s="2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" thickBot="1" x14ac:dyDescent="0.3">
      <c r="A33" s="22"/>
      <c r="B33" s="21" t="s">
        <v>265</v>
      </c>
      <c r="C33" s="27" t="s">
        <v>171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" thickBot="1" x14ac:dyDescent="0.3">
      <c r="A34" s="22"/>
      <c r="B34" s="21" t="s">
        <v>265</v>
      </c>
      <c r="C34" s="27" t="s">
        <v>172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" thickBot="1" x14ac:dyDescent="0.3">
      <c r="A35" s="22"/>
      <c r="B35" s="21" t="s">
        <v>265</v>
      </c>
      <c r="C35" s="27" t="s">
        <v>173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" thickBot="1" x14ac:dyDescent="0.3">
      <c r="A36" s="22"/>
      <c r="B36" s="21" t="s">
        <v>265</v>
      </c>
      <c r="C36" s="27" t="s">
        <v>174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" thickBot="1" x14ac:dyDescent="0.3">
      <c r="A37" s="22"/>
      <c r="B37" s="21" t="s">
        <v>265</v>
      </c>
      <c r="C37" s="27" t="s">
        <v>175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" thickBot="1" x14ac:dyDescent="0.3">
      <c r="A38" s="22"/>
      <c r="B38" s="21" t="s">
        <v>265</v>
      </c>
      <c r="C38" s="27" t="s">
        <v>176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" thickBot="1" x14ac:dyDescent="0.3">
      <c r="A39" s="22"/>
      <c r="B39" s="21" t="s">
        <v>265</v>
      </c>
      <c r="C39" s="27" t="s">
        <v>177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" thickBot="1" x14ac:dyDescent="0.3">
      <c r="A40" s="22"/>
      <c r="B40" s="21" t="s">
        <v>265</v>
      </c>
      <c r="C40" s="27" t="s">
        <v>178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" thickBot="1" x14ac:dyDescent="0.3">
      <c r="A41" s="22"/>
      <c r="B41" s="21" t="s">
        <v>265</v>
      </c>
      <c r="C41" s="27" t="s">
        <v>179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" thickBot="1" x14ac:dyDescent="0.3">
      <c r="A42" s="22"/>
      <c r="B42" s="21" t="s">
        <v>265</v>
      </c>
      <c r="C42" s="27" t="s">
        <v>180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" thickBot="1" x14ac:dyDescent="0.3">
      <c r="A43" s="22"/>
      <c r="B43" s="21">
        <v>2</v>
      </c>
      <c r="C43" s="27" t="s">
        <v>139</v>
      </c>
      <c r="D43" s="21">
        <v>9</v>
      </c>
      <c r="E43" s="21">
        <v>5</v>
      </c>
      <c r="F43" s="24">
        <v>12</v>
      </c>
      <c r="G43" s="21">
        <v>26</v>
      </c>
      <c r="H43" s="21">
        <v>0.44</v>
      </c>
      <c r="I43" s="21">
        <v>0.72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" thickBot="1" x14ac:dyDescent="0.3">
      <c r="A44" s="22"/>
      <c r="B44" s="21" t="s">
        <v>265</v>
      </c>
      <c r="C44" s="27" t="s">
        <v>181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" thickBot="1" x14ac:dyDescent="0.3">
      <c r="A45" s="22"/>
      <c r="B45" s="21">
        <v>10</v>
      </c>
      <c r="C45" s="27" t="s">
        <v>182</v>
      </c>
      <c r="D45" s="21">
        <v>5</v>
      </c>
      <c r="E45" s="21">
        <v>6</v>
      </c>
      <c r="F45" s="21">
        <v>11</v>
      </c>
      <c r="G45" s="21">
        <v>22</v>
      </c>
      <c r="H45" s="21">
        <v>0.18</v>
      </c>
      <c r="I45" s="21">
        <v>0.34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" thickBot="1" x14ac:dyDescent="0.3">
      <c r="A46" s="22"/>
      <c r="B46" s="21">
        <v>19</v>
      </c>
      <c r="C46" s="27" t="s">
        <v>183</v>
      </c>
      <c r="D46" s="21">
        <v>1</v>
      </c>
      <c r="E46" s="21">
        <v>0</v>
      </c>
      <c r="F46" s="21">
        <v>0</v>
      </c>
      <c r="G46" s="21">
        <v>1</v>
      </c>
      <c r="H46" s="21">
        <v>0.05</v>
      </c>
      <c r="I46" s="2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" thickBot="1" x14ac:dyDescent="0.3">
      <c r="A47" s="22"/>
      <c r="B47" s="21" t="s">
        <v>265</v>
      </c>
      <c r="C47" s="27" t="s">
        <v>184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" thickBot="1" x14ac:dyDescent="0.3">
      <c r="A48" s="22"/>
      <c r="B48" s="21" t="s">
        <v>265</v>
      </c>
      <c r="C48" s="27" t="s">
        <v>185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" thickBot="1" x14ac:dyDescent="0.3">
      <c r="A49" s="22"/>
      <c r="B49" s="21" t="s">
        <v>265</v>
      </c>
      <c r="C49" s="27" t="s">
        <v>186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" thickBot="1" x14ac:dyDescent="0.3">
      <c r="A50" s="22"/>
      <c r="B50" s="21">
        <v>24</v>
      </c>
      <c r="C50" s="27" t="s">
        <v>187</v>
      </c>
      <c r="D50" s="21">
        <v>0</v>
      </c>
      <c r="E50" s="21">
        <v>1</v>
      </c>
      <c r="F50" s="21">
        <v>1</v>
      </c>
      <c r="G50" s="21">
        <v>2</v>
      </c>
      <c r="H50" s="21">
        <v>1.07</v>
      </c>
      <c r="I50" s="2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" thickBot="1" x14ac:dyDescent="0.3">
      <c r="A51" s="22"/>
      <c r="B51" s="21" t="s">
        <v>265</v>
      </c>
      <c r="C51" s="27" t="s">
        <v>188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" thickBot="1" x14ac:dyDescent="0.3">
      <c r="A52" s="22"/>
      <c r="B52" s="21" t="s">
        <v>265</v>
      </c>
      <c r="C52" s="27" t="s">
        <v>189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" thickBot="1" x14ac:dyDescent="0.3">
      <c r="A53" s="22"/>
      <c r="B53" s="21" t="s">
        <v>265</v>
      </c>
      <c r="C53" s="27" t="s">
        <v>190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" thickBot="1" x14ac:dyDescent="0.3">
      <c r="A54" s="22"/>
      <c r="B54" s="21" t="s">
        <v>265</v>
      </c>
      <c r="C54" s="27" t="s">
        <v>191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" thickBot="1" x14ac:dyDescent="0.3">
      <c r="A55" s="22"/>
      <c r="B55" s="21" t="s">
        <v>265</v>
      </c>
      <c r="C55" s="27" t="s">
        <v>192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" thickBot="1" x14ac:dyDescent="0.3">
      <c r="A56" s="22"/>
      <c r="B56" s="21" t="s">
        <v>265</v>
      </c>
      <c r="C56" s="27" t="s">
        <v>193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" thickBot="1" x14ac:dyDescent="0.3">
      <c r="A57" s="22"/>
      <c r="B57" s="21" t="s">
        <v>265</v>
      </c>
      <c r="C57" s="27" t="s">
        <v>194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" thickBot="1" x14ac:dyDescent="0.3">
      <c r="A58" s="22"/>
      <c r="B58" s="21" t="s">
        <v>265</v>
      </c>
      <c r="C58" s="27" t="s">
        <v>195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" thickBot="1" x14ac:dyDescent="0.3">
      <c r="A59" s="22"/>
      <c r="B59" s="21" t="s">
        <v>265</v>
      </c>
      <c r="C59" s="27" t="s">
        <v>196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" thickBot="1" x14ac:dyDescent="0.3">
      <c r="A60" s="22"/>
      <c r="B60" s="21" t="s">
        <v>265</v>
      </c>
      <c r="C60" s="27" t="s">
        <v>197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" thickBot="1" x14ac:dyDescent="0.3">
      <c r="A61" s="22"/>
      <c r="B61" s="21" t="s">
        <v>265</v>
      </c>
      <c r="C61" s="27" t="s">
        <v>198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" thickBot="1" x14ac:dyDescent="0.3">
      <c r="A62" s="22"/>
      <c r="B62" s="21" t="s">
        <v>265</v>
      </c>
      <c r="C62" s="27" t="s">
        <v>199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" thickBot="1" x14ac:dyDescent="0.3">
      <c r="A63" s="22"/>
      <c r="B63" s="21" t="s">
        <v>265</v>
      </c>
      <c r="C63" s="27" t="s">
        <v>200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" thickBot="1" x14ac:dyDescent="0.3">
      <c r="A64" s="22"/>
      <c r="B64" s="21">
        <v>5</v>
      </c>
      <c r="C64" s="27" t="s">
        <v>201</v>
      </c>
      <c r="D64" s="21">
        <v>6</v>
      </c>
      <c r="E64" s="21">
        <v>7</v>
      </c>
      <c r="F64" s="21">
        <v>2</v>
      </c>
      <c r="G64" s="21">
        <v>15</v>
      </c>
      <c r="H64" s="21">
        <v>0.84</v>
      </c>
      <c r="I64" s="21">
        <v>1.03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" thickBot="1" x14ac:dyDescent="0.3">
      <c r="A65" s="22"/>
      <c r="B65" s="21">
        <v>22</v>
      </c>
      <c r="C65" s="27" t="s">
        <v>202</v>
      </c>
      <c r="D65" s="21">
        <v>0</v>
      </c>
      <c r="E65" s="21">
        <v>2</v>
      </c>
      <c r="F65" s="21">
        <v>1</v>
      </c>
      <c r="G65" s="21">
        <v>3</v>
      </c>
      <c r="H65" s="21">
        <v>0.56999999999999995</v>
      </c>
      <c r="I65" s="2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" thickBot="1" x14ac:dyDescent="0.3">
      <c r="A66" s="22"/>
      <c r="B66" s="21" t="s">
        <v>265</v>
      </c>
      <c r="C66" s="27" t="s">
        <v>203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" thickBot="1" x14ac:dyDescent="0.3">
      <c r="A67" s="22"/>
      <c r="B67" s="21" t="s">
        <v>265</v>
      </c>
      <c r="C67" s="27" t="s">
        <v>204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" thickBot="1" x14ac:dyDescent="0.3">
      <c r="A68" s="22"/>
      <c r="B68" s="21">
        <v>1</v>
      </c>
      <c r="C68" s="27" t="s">
        <v>140</v>
      </c>
      <c r="D68" s="25">
        <v>16</v>
      </c>
      <c r="E68" s="21">
        <v>8</v>
      </c>
      <c r="F68" s="21">
        <v>10</v>
      </c>
      <c r="G68" s="26">
        <v>34</v>
      </c>
      <c r="H68" s="21">
        <v>6.09</v>
      </c>
      <c r="I68" s="21">
        <v>5.87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" thickBot="1" x14ac:dyDescent="0.3">
      <c r="A69" s="22"/>
      <c r="B69" s="21" t="s">
        <v>265</v>
      </c>
      <c r="C69" s="27" t="s">
        <v>205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" thickBot="1" x14ac:dyDescent="0.3">
      <c r="A70" s="22"/>
      <c r="B70" s="21" t="s">
        <v>265</v>
      </c>
      <c r="C70" s="27" t="s">
        <v>206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" thickBot="1" x14ac:dyDescent="0.3">
      <c r="A71" s="22"/>
      <c r="B71" s="21">
        <v>21</v>
      </c>
      <c r="C71" s="27" t="s">
        <v>207</v>
      </c>
      <c r="D71" s="21">
        <v>0</v>
      </c>
      <c r="E71" s="21">
        <v>3</v>
      </c>
      <c r="F71" s="21">
        <v>1</v>
      </c>
      <c r="G71" s="21">
        <v>4</v>
      </c>
      <c r="H71" s="21">
        <v>0.11</v>
      </c>
      <c r="I71" s="2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" thickBot="1" x14ac:dyDescent="0.3">
      <c r="A72" s="22"/>
      <c r="B72" s="21" t="s">
        <v>265</v>
      </c>
      <c r="C72" s="27" t="s">
        <v>208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" thickBot="1" x14ac:dyDescent="0.3">
      <c r="A73" s="22"/>
      <c r="B73" s="21" t="s">
        <v>265</v>
      </c>
      <c r="C73" s="27" t="s">
        <v>209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" thickBot="1" x14ac:dyDescent="0.3">
      <c r="A74" s="22"/>
      <c r="B74" s="21" t="s">
        <v>265</v>
      </c>
      <c r="C74" s="27" t="s">
        <v>210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" thickBot="1" x14ac:dyDescent="0.3">
      <c r="A75" s="22"/>
      <c r="B75" s="21" t="s">
        <v>265</v>
      </c>
      <c r="C75" s="27" t="s">
        <v>211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" thickBot="1" x14ac:dyDescent="0.3">
      <c r="A76" s="22"/>
      <c r="B76" s="21" t="s">
        <v>265</v>
      </c>
      <c r="C76" s="27" t="s">
        <v>212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" thickBot="1" x14ac:dyDescent="0.3">
      <c r="A77" s="22"/>
      <c r="B77" s="21" t="s">
        <v>265</v>
      </c>
      <c r="C77" s="27" t="s">
        <v>213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" thickBot="1" x14ac:dyDescent="0.3">
      <c r="A78" s="22"/>
      <c r="B78" s="21" t="s">
        <v>265</v>
      </c>
      <c r="C78" s="27" t="s">
        <v>214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" thickBot="1" x14ac:dyDescent="0.3">
      <c r="A79" s="22"/>
      <c r="B79" s="21" t="s">
        <v>265</v>
      </c>
      <c r="C79" s="27" t="s">
        <v>215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" thickBot="1" x14ac:dyDescent="0.3">
      <c r="A80" s="22"/>
      <c r="B80" s="21">
        <v>17</v>
      </c>
      <c r="C80" s="27" t="s">
        <v>216</v>
      </c>
      <c r="D80" s="21">
        <v>2</v>
      </c>
      <c r="E80" s="21">
        <v>1</v>
      </c>
      <c r="F80" s="21">
        <v>1</v>
      </c>
      <c r="G80" s="21">
        <v>4</v>
      </c>
      <c r="H80" s="21">
        <v>1.88</v>
      </c>
      <c r="I80" s="2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" thickBot="1" x14ac:dyDescent="0.3">
      <c r="A81" s="22"/>
      <c r="B81" s="21" t="s">
        <v>265</v>
      </c>
      <c r="C81" s="27" t="s">
        <v>217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" thickBot="1" x14ac:dyDescent="0.3">
      <c r="A82" s="22"/>
      <c r="B82" s="21">
        <v>15</v>
      </c>
      <c r="C82" s="27" t="s">
        <v>218</v>
      </c>
      <c r="D82" s="21">
        <v>2</v>
      </c>
      <c r="E82" s="21">
        <v>2</v>
      </c>
      <c r="F82" s="21">
        <v>3</v>
      </c>
      <c r="G82" s="21">
        <v>7</v>
      </c>
      <c r="H82" s="21">
        <v>0.14000000000000001</v>
      </c>
      <c r="I82" s="21">
        <v>0.22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" thickBot="1" x14ac:dyDescent="0.3">
      <c r="A83" s="22"/>
      <c r="B83" s="21">
        <v>18</v>
      </c>
      <c r="C83" s="27" t="s">
        <v>219</v>
      </c>
      <c r="D83" s="21">
        <v>1</v>
      </c>
      <c r="E83" s="21">
        <v>0</v>
      </c>
      <c r="F83" s="21">
        <v>1</v>
      </c>
      <c r="G83" s="21">
        <v>2</v>
      </c>
      <c r="H83" s="21">
        <v>0.04</v>
      </c>
      <c r="I83" s="21">
        <v>7.0000000000000007E-2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" thickBot="1" x14ac:dyDescent="0.3">
      <c r="A84" s="22"/>
      <c r="B84" s="21">
        <v>6</v>
      </c>
      <c r="C84" s="27" t="s">
        <v>137</v>
      </c>
      <c r="D84" s="21">
        <v>6</v>
      </c>
      <c r="E84" s="21">
        <v>6</v>
      </c>
      <c r="F84" s="21">
        <v>3</v>
      </c>
      <c r="G84" s="21">
        <v>15</v>
      </c>
      <c r="H84" s="21">
        <v>1.42</v>
      </c>
      <c r="I84" s="21">
        <v>1.98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" thickBot="1" x14ac:dyDescent="0.3">
      <c r="A85" s="22"/>
      <c r="B85" s="21">
        <v>7</v>
      </c>
      <c r="C85" s="27" t="s">
        <v>138</v>
      </c>
      <c r="D85" s="21">
        <v>6</v>
      </c>
      <c r="E85" s="21">
        <v>4</v>
      </c>
      <c r="F85" s="21">
        <v>3</v>
      </c>
      <c r="G85" s="21">
        <v>13</v>
      </c>
      <c r="H85" s="21">
        <v>1.45</v>
      </c>
      <c r="I85" s="21">
        <v>1.52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" thickBot="1" x14ac:dyDescent="0.3">
      <c r="A86" s="22"/>
      <c r="B86" s="21" t="s">
        <v>265</v>
      </c>
      <c r="C86" s="27" t="s">
        <v>220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" thickBot="1" x14ac:dyDescent="0.3">
      <c r="A87" s="22"/>
      <c r="B87" s="21" t="s">
        <v>265</v>
      </c>
      <c r="C87" s="27" t="s">
        <v>221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" thickBot="1" x14ac:dyDescent="0.3">
      <c r="A88" s="22"/>
      <c r="B88" s="21" t="s">
        <v>265</v>
      </c>
      <c r="C88" s="27" t="s">
        <v>222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" thickBot="1" x14ac:dyDescent="0.3">
      <c r="A89" s="22"/>
      <c r="B89" s="21" t="s">
        <v>265</v>
      </c>
      <c r="C89" s="27" t="s">
        <v>223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" thickBot="1" x14ac:dyDescent="0.3">
      <c r="A90" s="22"/>
      <c r="B90" s="21" t="s">
        <v>265</v>
      </c>
      <c r="C90" s="27" t="s">
        <v>224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" thickBot="1" x14ac:dyDescent="0.3">
      <c r="A91" s="22"/>
      <c r="B91" s="21">
        <v>3</v>
      </c>
      <c r="C91" s="27" t="s">
        <v>225</v>
      </c>
      <c r="D91" s="21">
        <v>7</v>
      </c>
      <c r="E91" s="23">
        <v>11</v>
      </c>
      <c r="F91" s="21">
        <v>6</v>
      </c>
      <c r="G91" s="21">
        <v>24</v>
      </c>
      <c r="H91" s="21">
        <v>7.0000000000000007E-2</v>
      </c>
      <c r="I91" s="21">
        <v>0.08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" thickBot="1" x14ac:dyDescent="0.3">
      <c r="A92" s="22"/>
      <c r="B92" s="21" t="s">
        <v>265</v>
      </c>
      <c r="C92" s="27" t="s">
        <v>226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" thickBot="1" x14ac:dyDescent="0.3">
      <c r="A93" s="22"/>
      <c r="B93" s="21" t="s">
        <v>265</v>
      </c>
      <c r="C93" s="27" t="s">
        <v>227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" thickBot="1" x14ac:dyDescent="0.3">
      <c r="A94" s="22"/>
      <c r="B94" s="21" t="s">
        <v>265</v>
      </c>
      <c r="C94" s="27" t="s">
        <v>228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" thickBot="1" x14ac:dyDescent="0.3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" thickBot="1" x14ac:dyDescent="0.3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" thickBot="1" x14ac:dyDescent="0.3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" thickBot="1" x14ac:dyDescent="0.3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0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3.8" x14ac:dyDescent="0.25"/>
  <sheetData>
    <row r="1" spans="1:2" x14ac:dyDescent="0.25">
      <c r="A1" t="s">
        <v>104</v>
      </c>
    </row>
    <row r="2" spans="1:2" x14ac:dyDescent="0.25">
      <c r="A2" t="s">
        <v>105</v>
      </c>
      <c r="B2" t="s">
        <v>107</v>
      </c>
    </row>
    <row r="3" spans="1:2" x14ac:dyDescent="0.25">
      <c r="A3" t="s">
        <v>106</v>
      </c>
      <c r="B3" t="s">
        <v>107</v>
      </c>
    </row>
    <row r="4" spans="1:2" x14ac:dyDescent="0.25">
      <c r="A4" t="s">
        <v>108</v>
      </c>
      <c r="B4" t="s">
        <v>107</v>
      </c>
    </row>
    <row r="5" spans="1:2" x14ac:dyDescent="0.25">
      <c r="A5" t="s">
        <v>110</v>
      </c>
      <c r="B5" t="s">
        <v>107</v>
      </c>
    </row>
    <row r="6" spans="1:2" x14ac:dyDescent="0.25">
      <c r="A6" t="s">
        <v>113</v>
      </c>
      <c r="B6" t="s">
        <v>107</v>
      </c>
    </row>
    <row r="7" spans="1:2" x14ac:dyDescent="0.25">
      <c r="A7" t="s">
        <v>116</v>
      </c>
      <c r="B7" t="s">
        <v>107</v>
      </c>
    </row>
    <row r="8" spans="1:2" x14ac:dyDescent="0.25">
      <c r="A8" t="s">
        <v>115</v>
      </c>
    </row>
    <row r="9" spans="1:2" x14ac:dyDescent="0.25">
      <c r="A9" t="s">
        <v>118</v>
      </c>
      <c r="B9" t="s">
        <v>107</v>
      </c>
    </row>
    <row r="10" spans="1:2" x14ac:dyDescent="0.25">
      <c r="A10" t="s">
        <v>119</v>
      </c>
      <c r="B10" t="s">
        <v>107</v>
      </c>
    </row>
    <row r="11" spans="1:2" x14ac:dyDescent="0.25">
      <c r="A11" t="s">
        <v>121</v>
      </c>
      <c r="B11" t="s">
        <v>107</v>
      </c>
    </row>
    <row r="12" spans="1:2" x14ac:dyDescent="0.25">
      <c r="A12" t="s">
        <v>122</v>
      </c>
      <c r="B12" t="s">
        <v>107</v>
      </c>
    </row>
    <row r="13" spans="1:2" x14ac:dyDescent="0.25">
      <c r="A13" t="s">
        <v>123</v>
      </c>
      <c r="B13" t="s">
        <v>107</v>
      </c>
    </row>
    <row r="14" spans="1:2" x14ac:dyDescent="0.25">
      <c r="A14" t="s">
        <v>114</v>
      </c>
    </row>
    <row r="15" spans="1:2" x14ac:dyDescent="0.25">
      <c r="A15" t="s">
        <v>125</v>
      </c>
      <c r="B15" t="s">
        <v>107</v>
      </c>
    </row>
    <row r="16" spans="1:2" x14ac:dyDescent="0.25">
      <c r="A16" t="s">
        <v>126</v>
      </c>
      <c r="B16" t="s">
        <v>107</v>
      </c>
    </row>
    <row r="17" spans="1:2" x14ac:dyDescent="0.25">
      <c r="A17" t="s">
        <v>128</v>
      </c>
      <c r="B17" t="s">
        <v>107</v>
      </c>
    </row>
    <row r="18" spans="1:2" x14ac:dyDescent="0.25">
      <c r="A18" t="s">
        <v>129</v>
      </c>
      <c r="B18" t="s">
        <v>107</v>
      </c>
    </row>
    <row r="19" spans="1:2" x14ac:dyDescent="0.25">
      <c r="A19" t="s">
        <v>129</v>
      </c>
      <c r="B19" t="s">
        <v>107</v>
      </c>
    </row>
    <row r="20" spans="1:2" x14ac:dyDescent="0.25">
      <c r="A20" t="s">
        <v>132</v>
      </c>
      <c r="B20" t="s">
        <v>107</v>
      </c>
    </row>
    <row r="21" spans="1:2" x14ac:dyDescent="0.25">
      <c r="A21" t="s">
        <v>132</v>
      </c>
      <c r="B21" t="s">
        <v>107</v>
      </c>
    </row>
    <row r="22" spans="1:2" x14ac:dyDescent="0.25">
      <c r="A22" t="s">
        <v>133</v>
      </c>
      <c r="B22" t="s">
        <v>107</v>
      </c>
    </row>
    <row r="23" spans="1:2" x14ac:dyDescent="0.25">
      <c r="A23" t="s">
        <v>134</v>
      </c>
      <c r="B23" t="s">
        <v>107</v>
      </c>
    </row>
    <row r="24" spans="1:2" x14ac:dyDescent="0.25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2026-02-19T13:48:58Z</dcterms:modified>
</cp:coreProperties>
</file>