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675294A0-A3E6-447A-BD5E-C1ED10187D1B}" xr6:coauthVersionLast="47" xr6:coauthVersionMax="47" xr10:uidLastSave="{00000000-0000-0000-0000-000000000000}"/>
  <bookViews>
    <workbookView xWindow="28680" yWindow="-120" windowWidth="29040" windowHeight="15720" activeTab="1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L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L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5" i="3" l="1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<sst xmlns="http://schemas.openxmlformats.org/spreadsheetml/2006/main" count="468" uniqueCount="268">
  <si>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</si>
  <si>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</si>
  <si>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</si>
  <si>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</si>
  <si>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</si>
  <si>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</si>
  <si>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</si>
  <si>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</si>
  <si>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</si>
  <si>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</si>
  <si>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</si>
  <si>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</si>
  <si>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</si>
  <si>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</si>
  <si>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</si>
  <si>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</si>
  <si>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</si>
  <si>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</si>
  <si>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</si>
  <si>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</si>
  <si>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</si>
  <si>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</si>
  <si>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</si>
  <si>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</si>
  <si>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</si>
  <si>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</si>
  <si>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</si>
  <si>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</si>
  <si>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</si>
  <si>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</si>
  <si>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</si>
  <si>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</si>
  <si>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</si>
  <si>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</si>
  <si>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</si>
  <si>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</si>
  <si>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</si>
  <si>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</si>
  <si>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</si>
  <si>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</si>
  <si>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</si>
  <si>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</si>
  <si>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</si>
  <si>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</si>
  <si>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</si>
  <si>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</si>
  <si>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</si>
  <si>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</si>
  <si>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</si>
  <si>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</si>
  <si>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</si>
  <si>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</si>
  <si>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</si>
  <si>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</si>
  <si>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</si>
  <si>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</si>
  <si>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</si>
  <si>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</si>
  <si>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</si>
  <si>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</si>
  <si>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</si>
  <si>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</si>
  <si>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</si>
  <si>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</si>
  <si>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</si>
  <si>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</si>
  <si>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</si>
  <si>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</si>
  <si>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</si>
  <si>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</si>
  <si>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</si>
  <si>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</si>
  <si>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</si>
  <si>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</si>
  <si>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</si>
  <si>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</si>
  <si>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</si>
  <si>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</si>
  <si>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</si>
  <si>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</si>
  <si>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</si>
  <si>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</si>
  <si>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</si>
  <si>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</si>
  <si>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</si>
  <si>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</si>
  <si>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</si>
  <si>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</si>
  <si>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</si>
  <si>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</si>
  <si>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</si>
  <si>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</si>
  <si>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</si>
  <si>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</si>
  <si>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</si>
  <si>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</si>
  <si>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</si>
  <si>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</si>
  <si>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</si>
  <si>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</si>
  <si>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</si>
  <si>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</si>
  <si>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</si>
  <si>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</si>
  <si>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</si>
  <si>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</si>
  <si>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</si>
  <si>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</si>
  <si>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</si>
  <si>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</si>
  <si>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</si>
  <si>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</si>
  <si>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</si>
  <si>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</si>
  <si>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</si>
  <si>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</si>
  <si>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</si>
  <si>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</si>
  <si>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</si>
  <si>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</si>
  <si>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</si>
  <si>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</si>
  <si>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</si>
  <si>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</si>
  <si>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</si>
  <si>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</si>
  <si>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</si>
  <si>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</si>
  <si>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</si>
  <si>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</si>
  <si>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</si>
  <si>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</si>
  <si>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</si>
  <si>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</si>
  <si>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</si>
  <si>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</si>
  <si>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</si>
  <si>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</si>
  <si>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</si>
  <si>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</si>
  <si>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</si>
  <si>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</si>
  <si>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</si>
  <si>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</si>
  <si>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</si>
  <si>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</si>
  <si>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</si>
  <si>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</si>
  <si>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</si>
  <si>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</si>
  <si>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</si>
  <si>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</si>
  <si>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</si>
  <si>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</si>
  <si>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</si>
  <si>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</si>
  <si>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</si>
  <si>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</si>
  <si>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</si>
  <si>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</si>
  <si>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</si>
  <si>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</si>
  <si>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</si>
  <si>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</si>
  <si>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</si>
  <si>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</si>
  <si>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</si>
  <si>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</si>
  <si>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</si>
  <si>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</si>
  <si>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</si>
  <si>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</si>
  <si>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</si>
  <si>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</si>
  <si>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</si>
  <si>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</si>
  <si>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</si>
  <si>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</si>
  <si>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</si>
  <si>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</si>
  <si>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</si>
  <si>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</si>
  <si>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</si>
  <si>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</si>
  <si>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</si>
  <si>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</si>
  <si>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</si>
  <si>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</si>
  <si>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</si>
  <si>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</si>
  <si>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</si>
  <si>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</si>
  <si>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</si>
  <si>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</si>
  <si>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</si>
  <si>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</si>
  <si>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</si>
  <si>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</si>
  <si>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</si>
  <si>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</si>
  <si>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</si>
  <si>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</si>
  <si>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</si>
  <si>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</si>
  <si>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</si>
  <si>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</si>
  <si>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</si>
  <si>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</si>
  <si>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</si>
  <si>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</si>
  <si>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</si>
  <si>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</si>
  <si>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</si>
  <si>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</si>
  <si>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</si>
  <si>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</si>
  <si>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</si>
  <si>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</si>
  <si>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</si>
  <si>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</si>
  <si>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</si>
  <si>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</si>
  <si>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</si>
  <si>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</si>
  <si>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</si>
  <si>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</si>
  <si>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</si>
  <si>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</si>
  <si>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</si>
  <si>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</si>
  <si>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</si>
  <si>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</si>
  <si>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</si>
  <si>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</si>
  <si>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</si>
  <si>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</si>
  <si>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</si>
  <si>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</si>
  <si>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</si>
  <si>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</si>
  <si>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</si>
  <si>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</si>
  <si>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</si>
  <si>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</si>
  <si>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</si>
  <si>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</si>
  <si>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</si>
  <si>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</si>
  <si>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</si>
  <si>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</si>
  <si>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</si>
  <si>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</si>
  <si>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</si>
  <si>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</si>
  <si>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</si>
  <si>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</si>
  <si>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</si>
  <si>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</si>
  <si>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</si>
  <si>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</si>
  <si>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Neigem (Czech, Estonia, Finland, Italy, Latvia, United States)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</si>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</sst>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E27" sqref="E27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29</v>
      </c>
    </row>
    <row r="3" spans="1:2" x14ac:dyDescent="0.2">
      <c r="A3" t="s">
        <v>260</v>
      </c>
      <c r="B3">
        <f>Events!Y95</f>
        <v>24</v>
      </c>
    </row>
    <row r="4" spans="1:2" x14ac:dyDescent="0.2">
      <c r="A4" t="s">
        <v>261</v>
      </c>
      <c r="B4">
        <f>Events!AI95</f>
        <v>27</v>
      </c>
    </row>
    <row r="5" spans="1:2" x14ac:dyDescent="0.2">
      <c r="A5" t="s">
        <v>256</v>
      </c>
      <c r="B5">
        <f>Events!N95</f>
        <v>23</v>
      </c>
    </row>
    <row r="6" spans="1:2" x14ac:dyDescent="0.2">
      <c r="A6" t="s">
        <v>245</v>
      </c>
      <c r="B6">
        <f>Events!W95</f>
        <v>29</v>
      </c>
    </row>
    <row r="7" spans="1:2" x14ac:dyDescent="0.2">
      <c r="A7" t="s">
        <v>262</v>
      </c>
      <c r="B7">
        <f>Events!O95</f>
        <v>18</v>
      </c>
    </row>
    <row r="8" spans="1:2" x14ac:dyDescent="0.2">
      <c r="A8" t="s">
        <v>258</v>
      </c>
      <c r="B8">
        <f>Events!AH95</f>
        <v>16</v>
      </c>
    </row>
    <row r="9" spans="1:2" x14ac:dyDescent="0.2">
      <c r="A9" t="s">
        <v>251</v>
      </c>
      <c r="B9">
        <f>Events!Q95</f>
        <v>15</v>
      </c>
    </row>
    <row r="10" spans="1:2" x14ac:dyDescent="0.2">
      <c r="A10" t="s">
        <v>263</v>
      </c>
      <c r="B10">
        <f>Events!S95</f>
        <v>15</v>
      </c>
    </row>
    <row r="11" spans="1:2" x14ac:dyDescent="0.2">
      <c r="A11" t="s">
        <v>264</v>
      </c>
      <c r="B11">
        <f>Events!R95</f>
        <v>15</v>
      </c>
    </row>
    <row r="12" spans="1:2" x14ac:dyDescent="0.2">
      <c r="A12" t="s">
        <v>265</v>
      </c>
      <c r="B12">
        <f>Events!AF95</f>
        <v>15</v>
      </c>
    </row>
    <row r="13" spans="1:2" x14ac:dyDescent="0.2">
      <c r="A13" t="s">
        <v>266</v>
      </c>
      <c r="B13">
        <f>Events!X95</f>
        <v>14</v>
      </c>
    </row>
    <row r="14" spans="1:2" x14ac:dyDescent="0.2">
      <c r="A14" t="s">
        <v>244</v>
      </c>
      <c r="B14">
        <f>Events!AE95</f>
        <v>16</v>
      </c>
    </row>
    <row r="15" spans="1:2" x14ac:dyDescent="0.2">
      <c r="A15" t="s">
        <v>249</v>
      </c>
      <c r="B15">
        <f>Events!AB95</f>
        <v>19</v>
      </c>
    </row>
    <row r="16" spans="1:2" x14ac:dyDescent="0.2">
      <c r="A16" t="s">
        <v>248</v>
      </c>
      <c r="B16">
        <f>Events!AD95</f>
        <v>13</v>
      </c>
    </row>
    <row r="17" spans="1:2" x14ac:dyDescent="0.2">
      <c r="A17" t="s">
        <v>259</v>
      </c>
      <c r="B17">
        <f>Events!AG95</f>
        <v>7</v>
      </c>
    </row>
    <row r="18" spans="1:2" x14ac:dyDescent="0.2">
      <c r="A18" t="s">
        <v>246</v>
      </c>
      <c r="B18">
        <f>Events!AA95</f>
        <v>11</v>
      </c>
    </row>
    <row r="19" spans="1:2" x14ac:dyDescent="0.2">
      <c r="A19" t="s">
        <v>247</v>
      </c>
      <c r="B19">
        <f>Events!AC95</f>
        <v>11</v>
      </c>
    </row>
    <row r="20" spans="1:2" x14ac:dyDescent="0.2">
      <c r="A20" t="s">
        <v>254</v>
      </c>
      <c r="B20">
        <f>Events!P95</f>
        <v>14</v>
      </c>
    </row>
    <row r="21" spans="1:2" x14ac:dyDescent="0.2">
      <c r="A21" t="s">
        <v>252</v>
      </c>
      <c r="B21">
        <f>Events!V95</f>
        <v>8</v>
      </c>
    </row>
    <row r="22" spans="1:2" x14ac:dyDescent="0.2">
      <c r="A22" t="s">
        <v>253</v>
      </c>
      <c r="B22">
        <f>Events!T95</f>
        <v>7</v>
      </c>
    </row>
    <row r="23" spans="1:2" x14ac:dyDescent="0.2">
      <c r="A23" t="s">
        <v>255</v>
      </c>
      <c r="B23">
        <f>Events!M95</f>
        <v>11</v>
      </c>
    </row>
    <row r="24" spans="1:2" x14ac:dyDescent="0.2">
      <c r="A24" t="s">
        <v>250</v>
      </c>
      <c r="B24">
        <f>Events!Z95</f>
        <v>9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tabSelected="1" workbookViewId="0">
      <pane xSplit="12" ySplit="1" topLeftCell="U2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2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3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4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5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6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7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1</v>
      </c>
      <c r="J7" cm="1">
        <f t="array" ref="J7">INDEX('Medal Count'!E:E,Events!$C7)</f>
        <v>3</v>
      </c>
      <c r="K7" cm="1">
        <f t="array" ref="K7">INDEX('Medal Count'!F:F,Events!$C7)</f>
        <v>0</v>
      </c>
      <c r="L7">
        <f>SUM((I7*3)+(J7*2)+(K7*1))</f>
        <v>9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8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9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0</v>
      </c>
      <c r="L9">
        <f>SUM((I9*3)+(J9*2)+(K9*1))</f>
        <v>0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10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11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12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13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14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1</v>
      </c>
      <c r="L14">
        <f t="shared" si="2"/>
        <v>2</v>
      </c>
    </row>
    <row r="15" spans="1:35" x14ac:dyDescent="0.2">
      <c r="A15" s="1" t="s">
        <v>13</v>
      </c>
      <c r="B15" t="s">
        <v>154</v>
      </c>
      <c r="C15">
        <f>MATCH(Events!B15,'Medal Count'!C:C,0)</f>
        <v>15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0</v>
      </c>
      <c r="K15" cm="1">
        <f t="array" ref="K15">INDEX('Medal Count'!F:F,Events!$C15)</f>
        <v>2</v>
      </c>
      <c r="L15">
        <f>SUM((I15*3)+(J15*2)+(K15*1))</f>
        <v>2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16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17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1</v>
      </c>
      <c r="K17" cm="1">
        <f t="array" ref="K17">INDEX('Medal Count'!F:F,Events!$C17)</f>
        <v>1</v>
      </c>
      <c r="L17">
        <f>SUM((I17*3)+(J17*2)+(K17*1))</f>
        <v>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19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20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21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22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23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24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25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26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27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0</v>
      </c>
      <c r="L26">
        <f t="shared" si="5"/>
        <v>0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28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1</v>
      </c>
      <c r="J27" cm="1">
        <f t="array" ref="J27">INDEX('Medal Count'!E:E,Events!$C27)</f>
        <v>1</v>
      </c>
      <c r="K27" cm="1">
        <f t="array" ref="K27">INDEX('Medal Count'!F:F,Events!$C27)</f>
        <v>0</v>
      </c>
      <c r="L27">
        <f t="shared" si="5"/>
        <v>5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29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30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1</v>
      </c>
      <c r="J29" cm="1">
        <f t="array" ref="J29">INDEX('Medal Count'!E:E,Events!$C29)</f>
        <v>1</v>
      </c>
      <c r="K29" cm="1">
        <f t="array" ref="K29">INDEX('Medal Count'!F:F,Events!$C29)</f>
        <v>1</v>
      </c>
      <c r="L29">
        <f t="shared" ref="L29:L30" si="6">SUM((I29*3)+(J29*2)+(K29*1))</f>
        <v>6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31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32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33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34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35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36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37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38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39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40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41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42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1</v>
      </c>
      <c r="J42" cm="1">
        <f t="array" ref="J42">INDEX('Medal Count'!E:E,Events!$C42)</f>
        <v>2</v>
      </c>
      <c r="K42" cm="1">
        <f t="array" ref="K42">INDEX('Medal Count'!F:F,Events!$C42)</f>
        <v>6</v>
      </c>
      <c r="L42">
        <f>SUM((I42*3)+(J42*2)+(K42*1))</f>
        <v>13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43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44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1</v>
      </c>
      <c r="J44" cm="1">
        <f t="array" ref="J44">INDEX('Medal Count'!E:E,Events!$C44)</f>
        <v>2</v>
      </c>
      <c r="K44" cm="1">
        <f t="array" ref="K44">INDEX('Medal Count'!F:F,Events!$C44)</f>
        <v>2</v>
      </c>
      <c r="L44">
        <f>SUM((I44*3)+(J44*2)+(K44*1))</f>
        <v>9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45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46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47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48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49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0</v>
      </c>
      <c r="K49" cm="1">
        <f t="array" ref="K49">INDEX('Medal Count'!F:F,Events!$C49)</f>
        <v>0</v>
      </c>
      <c r="L49">
        <f>SUM((I49*3)+(J49*2)+(K49*1))</f>
        <v>0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50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51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52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53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54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55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56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57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58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59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60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61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62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63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</v>
      </c>
      <c r="J63" cm="1">
        <f t="array" ref="J63">INDEX('Medal Count'!E:E,Events!$C63)</f>
        <v>1</v>
      </c>
      <c r="K63" cm="1">
        <f t="array" ref="K63">INDEX('Medal Count'!F:F,Events!$C63)</f>
        <v>0</v>
      </c>
      <c r="L63">
        <f t="shared" ref="L63:L64" si="11">SUM((I63*3)+(J63*2)+(K63*1))</f>
        <v>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64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0</v>
      </c>
      <c r="K64" cm="1">
        <f t="array" ref="K64">INDEX('Medal Count'!F:F,Events!$C64)</f>
        <v>0</v>
      </c>
      <c r="L64">
        <f t="shared" si="11"/>
        <v>0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65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66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67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3</v>
      </c>
      <c r="J67" cm="1">
        <f t="array" ref="J67">INDEX('Medal Count'!E:E,Events!$C67)</f>
        <v>1</v>
      </c>
      <c r="K67" cm="1">
        <f t="array" ref="K67">INDEX('Medal Count'!F:F,Events!$C67)</f>
        <v>2</v>
      </c>
      <c r="L67">
        <f>SUM((I67*3)+(J67*2)+(K67*1))</f>
        <v>13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68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69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70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0</v>
      </c>
      <c r="K70" cm="1">
        <f t="array" ref="K70">INDEX('Medal Count'!F:F,Events!$C70)</f>
        <v>0</v>
      </c>
      <c r="L70">
        <f>SUM((I70*3)+(J70*2)+(K70*1))</f>
        <v>0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71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73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74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75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76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77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78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79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0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2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80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81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0</v>
      </c>
      <c r="L80">
        <f t="shared" ref="L80:L83" si="17">SUM((I80*3)+(J80*2)+(K80*1))</f>
        <v>2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82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83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1</v>
      </c>
      <c r="J82" cm="1">
        <f t="array" ref="J82">INDEX('Medal Count'!E:E,Events!$C82)</f>
        <v>1</v>
      </c>
      <c r="K82" cm="1">
        <f t="array" ref="K82">INDEX('Medal Count'!F:F,Events!$C82)</f>
        <v>0</v>
      </c>
      <c r="L82">
        <f t="shared" si="17"/>
        <v>5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84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3</v>
      </c>
      <c r="J83" cm="1">
        <f t="array" ref="J83">INDEX('Medal Count'!E:E,Events!$C83)</f>
        <v>1</v>
      </c>
      <c r="K83" cm="1">
        <f t="array" ref="K83">INDEX('Medal Count'!F:F,Events!$C83)</f>
        <v>0</v>
      </c>
      <c r="L83">
        <f t="shared" si="17"/>
        <v>11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18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85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86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87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88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89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90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2</v>
      </c>
      <c r="J90" cm="1">
        <f t="array" ref="J90">INDEX('Medal Count'!E:E,Events!$C90)</f>
        <v>0</v>
      </c>
      <c r="K90" cm="1">
        <f t="array" ref="K90">INDEX('Medal Count'!F:F,Events!$C90)</f>
        <v>0</v>
      </c>
      <c r="L90">
        <f>SUM((I90*3)+(J90*2)+(K90*1))</f>
        <v>6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91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92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93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11</v>
      </c>
      <c r="N95">
        <f t="shared" si="21"/>
        <v>23</v>
      </c>
      <c r="O95">
        <f t="shared" si="21"/>
        <v>18</v>
      </c>
      <c r="P95">
        <f t="shared" si="21"/>
        <v>14</v>
      </c>
      <c r="Q95">
        <f t="shared" si="21"/>
        <v>15</v>
      </c>
      <c r="R95">
        <f t="shared" si="21"/>
        <v>15</v>
      </c>
      <c r="S95">
        <f t="shared" si="21"/>
        <v>15</v>
      </c>
      <c r="T95">
        <f t="shared" si="21"/>
        <v>7</v>
      </c>
      <c r="U95">
        <f t="shared" si="21"/>
        <v>29</v>
      </c>
      <c r="V95">
        <f t="shared" si="21"/>
        <v>8</v>
      </c>
      <c r="W95">
        <f t="shared" si="21"/>
        <v>29</v>
      </c>
      <c r="X95">
        <f t="shared" si="21"/>
        <v>14</v>
      </c>
      <c r="Y95">
        <f t="shared" si="21"/>
        <v>24</v>
      </c>
      <c r="Z95">
        <f t="shared" si="21"/>
        <v>9</v>
      </c>
      <c r="AA95">
        <f t="shared" si="21"/>
        <v>11</v>
      </c>
      <c r="AB95">
        <f t="shared" si="21"/>
        <v>19</v>
      </c>
      <c r="AC95">
        <f t="shared" si="21"/>
        <v>11</v>
      </c>
      <c r="AD95">
        <f t="shared" si="21"/>
        <v>13</v>
      </c>
      <c r="AE95">
        <f t="shared" si="21"/>
        <v>16</v>
      </c>
      <c r="AF95">
        <f t="shared" si="21"/>
        <v>15</v>
      </c>
      <c r="AG95">
        <f t="shared" si="21"/>
        <v>7</v>
      </c>
      <c r="AH95">
        <f t="shared" si="21"/>
        <v>16</v>
      </c>
      <c r="AI95">
        <f t="shared" si="21"/>
        <v>27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U98"/>
  <sheetViews>
    <sheetView topLeftCell="A28" workbookViewId="0">
      <selection activeCell="L21" sqref="L21"/>
    </sheetView>
  </sheetViews>
  <sheetFormatPr defaultRowHeight="14.25" x14ac:dyDescent="0.2"/>
  <cols>
    <col min="1" max="1" width="9" customWidth="1"/>
    <col min="2" max="2" width="9.625" bestFit="1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1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1" ht="15.75" thickBot="1" x14ac:dyDescent="0.25">
      <c r="B2" s="12" t="s">
        <v>267</v>
      </c>
      <c r="C2" s="26" t="s">
        <v>141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25"/>
      <c r="K2" s="25"/>
      <c r="L2" s="25"/>
      <c r="M2" s="25"/>
      <c r="N2" s="25"/>
    </row>
    <row r="3" spans="1:21" ht="15.75" thickBot="1" x14ac:dyDescent="0.25">
      <c r="A3" s="11"/>
      <c r="B3" s="12" t="s">
        <v>267</v>
      </c>
      <c r="C3" s="26" t="s">
        <v>142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N3" s="18"/>
      <c r="O3" s="19"/>
      <c r="P3" s="18"/>
      <c r="Q3" s="18"/>
      <c r="R3" s="18"/>
      <c r="S3" s="18"/>
      <c r="T3" s="18"/>
      <c r="U3" s="18"/>
    </row>
    <row r="4" spans="1:21" ht="15.75" thickBot="1" x14ac:dyDescent="0.25">
      <c r="A4" s="11"/>
      <c r="B4" s="12" t="s">
        <v>267</v>
      </c>
      <c r="C4" s="26" t="s">
        <v>143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1" ht="15.75" thickBot="1" x14ac:dyDescent="0.25">
      <c r="A5" s="11"/>
      <c r="B5" s="12" t="s">
        <v>267</v>
      </c>
      <c r="C5" s="26" t="s">
        <v>144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1" ht="15.75" thickBot="1" x14ac:dyDescent="0.25">
      <c r="A6" s="11"/>
      <c r="B6" s="12" t="s">
        <v>267</v>
      </c>
      <c r="C6" s="26" t="s">
        <v>145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1" ht="15.75" thickBot="1" x14ac:dyDescent="0.25">
      <c r="A7" s="11"/>
      <c r="B7" s="12">
        <v>4</v>
      </c>
      <c r="C7" s="26" t="s">
        <v>146</v>
      </c>
      <c r="D7" s="12">
        <v>1</v>
      </c>
      <c r="E7" s="14">
        <v>3</v>
      </c>
      <c r="F7" s="12">
        <v>0</v>
      </c>
      <c r="G7" s="12">
        <v>4</v>
      </c>
      <c r="H7" s="12">
        <v>0.44</v>
      </c>
      <c r="I7" s="12">
        <v>0.6</v>
      </c>
      <c r="M7" s="20"/>
      <c r="N7" s="18"/>
      <c r="O7" s="19"/>
      <c r="P7" s="18"/>
      <c r="Q7" s="18"/>
      <c r="R7" s="18"/>
      <c r="S7" s="18"/>
      <c r="T7" s="18"/>
      <c r="U7" s="18"/>
    </row>
    <row r="8" spans="1:21" ht="15.75" thickBot="1" x14ac:dyDescent="0.25">
      <c r="A8" s="11"/>
      <c r="B8" s="12" t="s">
        <v>267</v>
      </c>
      <c r="C8" s="26" t="s">
        <v>147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M8" s="20"/>
      <c r="N8" s="18"/>
      <c r="O8" s="19"/>
      <c r="P8" s="18"/>
      <c r="Q8" s="18"/>
      <c r="R8" s="18"/>
      <c r="S8" s="18"/>
      <c r="T8" s="18"/>
      <c r="U8" s="18"/>
    </row>
    <row r="9" spans="1:21" ht="15.75" thickBot="1" x14ac:dyDescent="0.25">
      <c r="A9" s="11"/>
      <c r="B9" s="12" t="s">
        <v>267</v>
      </c>
      <c r="C9" s="26" t="s">
        <v>148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1" ht="15.75" thickBot="1" x14ac:dyDescent="0.25">
      <c r="A10" s="11"/>
      <c r="B10" s="12" t="s">
        <v>267</v>
      </c>
      <c r="C10" s="26" t="s">
        <v>149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1" ht="15.75" thickBot="1" x14ac:dyDescent="0.25">
      <c r="A11" s="11"/>
      <c r="B11" s="12" t="s">
        <v>267</v>
      </c>
      <c r="C11" s="26" t="s">
        <v>150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1" ht="15.75" thickBot="1" x14ac:dyDescent="0.25">
      <c r="A12" s="11"/>
      <c r="B12" s="12" t="s">
        <v>267</v>
      </c>
      <c r="C12" s="26" t="s">
        <v>151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1" ht="15.75" thickBot="1" x14ac:dyDescent="0.25">
      <c r="A13" s="11"/>
      <c r="B13" s="12" t="s">
        <v>267</v>
      </c>
      <c r="C13" s="26" t="s">
        <v>152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1" ht="15.75" thickBot="1" x14ac:dyDescent="0.25">
      <c r="A14" s="11"/>
      <c r="B14" s="12">
        <v>16</v>
      </c>
      <c r="C14" s="26" t="s">
        <v>153</v>
      </c>
      <c r="D14" s="12">
        <v>0</v>
      </c>
      <c r="E14" s="12">
        <v>0</v>
      </c>
      <c r="F14" s="12">
        <v>1</v>
      </c>
      <c r="G14" s="12">
        <v>1</v>
      </c>
      <c r="H14" s="12">
        <v>0.16</v>
      </c>
      <c r="I14" s="12">
        <v>0.4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1" ht="15.75" thickBot="1" x14ac:dyDescent="0.25">
      <c r="A15" s="11"/>
      <c r="B15" s="12">
        <v>15</v>
      </c>
      <c r="C15" s="26" t="s">
        <v>154</v>
      </c>
      <c r="D15" s="12">
        <v>0</v>
      </c>
      <c r="E15" s="12">
        <v>0</v>
      </c>
      <c r="F15" s="12">
        <v>2</v>
      </c>
      <c r="G15" s="12">
        <v>2</v>
      </c>
      <c r="H15" s="12">
        <v>0.05</v>
      </c>
      <c r="I15" s="12">
        <v>0.08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1" ht="15.75" thickBot="1" x14ac:dyDescent="0.25">
      <c r="A16" s="11"/>
      <c r="B16" s="12" t="s">
        <v>267</v>
      </c>
      <c r="C16" s="26" t="s">
        <v>155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>
        <v>12</v>
      </c>
      <c r="C17" s="26" t="s">
        <v>156</v>
      </c>
      <c r="D17" s="12">
        <v>0</v>
      </c>
      <c r="E17" s="12">
        <v>1</v>
      </c>
      <c r="F17" s="12">
        <v>1</v>
      </c>
      <c r="G17" s="12">
        <v>2</v>
      </c>
      <c r="H17" s="12">
        <v>0</v>
      </c>
      <c r="I17" s="12">
        <v>0.01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 t="s">
        <v>267</v>
      </c>
      <c r="C18" s="26" t="s">
        <v>157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267</v>
      </c>
      <c r="C19" s="26" t="s">
        <v>158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267</v>
      </c>
      <c r="C20" s="26" t="s">
        <v>159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267</v>
      </c>
      <c r="C21" s="26" t="s">
        <v>160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>
        <v>8</v>
      </c>
      <c r="C22" s="26" t="s">
        <v>161</v>
      </c>
      <c r="D22" s="12">
        <v>1</v>
      </c>
      <c r="E22" s="12">
        <v>1</v>
      </c>
      <c r="F22" s="12">
        <v>0</v>
      </c>
      <c r="G22" s="12">
        <v>2</v>
      </c>
      <c r="H22" s="12">
        <v>0.18</v>
      </c>
      <c r="I22" s="12">
        <v>0.32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 t="s">
        <v>267</v>
      </c>
      <c r="C23" s="26" t="s">
        <v>162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267</v>
      </c>
      <c r="C24" s="26" t="s">
        <v>163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267</v>
      </c>
      <c r="C25" s="26" t="s">
        <v>164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267</v>
      </c>
      <c r="C26" s="26" t="s">
        <v>165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267</v>
      </c>
      <c r="C27" s="26" t="s">
        <v>166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8</v>
      </c>
      <c r="C28" s="26" t="s">
        <v>167</v>
      </c>
      <c r="D28" s="12">
        <v>1</v>
      </c>
      <c r="E28" s="12">
        <v>1</v>
      </c>
      <c r="F28" s="12">
        <v>0</v>
      </c>
      <c r="G28" s="12">
        <v>2</v>
      </c>
      <c r="H28" s="12">
        <v>0.03</v>
      </c>
      <c r="I28" s="12">
        <v>0.05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 t="s">
        <v>267</v>
      </c>
      <c r="C29" s="26" t="s">
        <v>168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>
        <v>7</v>
      </c>
      <c r="C30" s="26" t="s">
        <v>169</v>
      </c>
      <c r="D30" s="12">
        <v>1</v>
      </c>
      <c r="E30" s="12">
        <v>1</v>
      </c>
      <c r="F30" s="12">
        <v>1</v>
      </c>
      <c r="G30" s="12">
        <v>3</v>
      </c>
      <c r="H30" s="12">
        <v>0.04</v>
      </c>
      <c r="I30" s="12">
        <v>0.05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 t="s">
        <v>267</v>
      </c>
      <c r="C31" s="26" t="s">
        <v>170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267</v>
      </c>
      <c r="C32" s="26" t="s">
        <v>171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267</v>
      </c>
      <c r="C33" s="26" t="s">
        <v>172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267</v>
      </c>
      <c r="C34" s="26" t="s">
        <v>173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267</v>
      </c>
      <c r="C35" s="26" t="s">
        <v>174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267</v>
      </c>
      <c r="C36" s="26" t="s">
        <v>175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267</v>
      </c>
      <c r="C37" s="26" t="s">
        <v>176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267</v>
      </c>
      <c r="C38" s="26" t="s">
        <v>177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267</v>
      </c>
      <c r="C39" s="26" t="s">
        <v>178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267</v>
      </c>
      <c r="C40" s="26" t="s">
        <v>179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267</v>
      </c>
      <c r="C41" s="26" t="s">
        <v>180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>
        <v>5</v>
      </c>
      <c r="C42" s="26" t="s">
        <v>139</v>
      </c>
      <c r="D42" s="12">
        <v>1</v>
      </c>
      <c r="E42" s="12">
        <v>2</v>
      </c>
      <c r="F42" s="15">
        <v>6</v>
      </c>
      <c r="G42" s="16">
        <v>9</v>
      </c>
      <c r="H42" s="12">
        <v>0.15</v>
      </c>
      <c r="I42" s="12">
        <v>0.25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 t="s">
        <v>267</v>
      </c>
      <c r="C43" s="26" t="s">
        <v>181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>
        <v>6</v>
      </c>
      <c r="C44" s="26" t="s">
        <v>182</v>
      </c>
      <c r="D44" s="12">
        <v>1</v>
      </c>
      <c r="E44" s="12">
        <v>2</v>
      </c>
      <c r="F44" s="12">
        <v>2</v>
      </c>
      <c r="G44" s="12">
        <v>5</v>
      </c>
      <c r="H44" s="12">
        <v>0.04</v>
      </c>
      <c r="I44" s="12">
        <v>0.08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 t="s">
        <v>267</v>
      </c>
      <c r="C45" s="26" t="s">
        <v>183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267</v>
      </c>
      <c r="C46" s="26" t="s">
        <v>184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267</v>
      </c>
      <c r="C47" s="26" t="s">
        <v>185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267</v>
      </c>
      <c r="C48" s="26" t="s">
        <v>186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267</v>
      </c>
      <c r="C49" s="26" t="s">
        <v>187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 t="s">
        <v>267</v>
      </c>
      <c r="C50" s="26" t="s">
        <v>188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267</v>
      </c>
      <c r="C51" s="26" t="s">
        <v>189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267</v>
      </c>
      <c r="C52" s="26" t="s">
        <v>190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267</v>
      </c>
      <c r="C53" s="26" t="s">
        <v>191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267</v>
      </c>
      <c r="C54" s="26" t="s">
        <v>192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267</v>
      </c>
      <c r="C55" s="26" t="s">
        <v>193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267</v>
      </c>
      <c r="C56" s="26" t="s">
        <v>194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267</v>
      </c>
      <c r="C57" s="26" t="s">
        <v>195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267</v>
      </c>
      <c r="C58" s="26" t="s">
        <v>196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267</v>
      </c>
      <c r="C59" s="26" t="s">
        <v>197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267</v>
      </c>
      <c r="C60" s="26" t="s">
        <v>198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267</v>
      </c>
      <c r="C61" s="26" t="s">
        <v>199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267</v>
      </c>
      <c r="C62" s="26" t="s">
        <v>200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>
        <v>8</v>
      </c>
      <c r="C63" s="26" t="s">
        <v>201</v>
      </c>
      <c r="D63" s="12">
        <v>1</v>
      </c>
      <c r="E63" s="12">
        <v>1</v>
      </c>
      <c r="F63" s="12">
        <v>0</v>
      </c>
      <c r="G63" s="12">
        <v>2</v>
      </c>
      <c r="H63" s="12">
        <v>0.11</v>
      </c>
      <c r="I63" s="12">
        <v>0.14000000000000001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 t="s">
        <v>267</v>
      </c>
      <c r="C64" s="26" t="s">
        <v>202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 t="s">
        <v>267</v>
      </c>
      <c r="C65" s="26" t="s">
        <v>203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267</v>
      </c>
      <c r="C66" s="26" t="s">
        <v>204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>
        <v>1</v>
      </c>
      <c r="C67" s="26" t="s">
        <v>140</v>
      </c>
      <c r="D67" s="17">
        <v>3</v>
      </c>
      <c r="E67" s="12">
        <v>1</v>
      </c>
      <c r="F67" s="12">
        <v>2</v>
      </c>
      <c r="G67" s="12">
        <v>6</v>
      </c>
      <c r="H67" s="12">
        <v>1.07</v>
      </c>
      <c r="I67" s="12">
        <v>1.04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 t="s">
        <v>267</v>
      </c>
      <c r="C68" s="26" t="s">
        <v>205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267</v>
      </c>
      <c r="C69" s="26" t="s">
        <v>206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267</v>
      </c>
      <c r="C70" s="26" t="s">
        <v>207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 t="s">
        <v>267</v>
      </c>
      <c r="C71" s="26" t="s">
        <v>208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267</v>
      </c>
      <c r="C72" s="26" t="s">
        <v>209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267</v>
      </c>
      <c r="C73" s="26" t="s">
        <v>210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267</v>
      </c>
      <c r="C74" s="26" t="s">
        <v>211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267</v>
      </c>
      <c r="C75" s="26" t="s">
        <v>212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267</v>
      </c>
      <c r="C76" s="26" t="s">
        <v>213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267</v>
      </c>
      <c r="C77" s="26" t="s">
        <v>214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267</v>
      </c>
      <c r="C78" s="26" t="s">
        <v>215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>
        <v>13</v>
      </c>
      <c r="C79" s="26" t="s">
        <v>216</v>
      </c>
      <c r="D79" s="12">
        <v>0</v>
      </c>
      <c r="E79" s="12">
        <v>1</v>
      </c>
      <c r="F79" s="12">
        <v>0</v>
      </c>
      <c r="G79" s="12">
        <v>1</v>
      </c>
      <c r="H79" s="12">
        <v>0.47</v>
      </c>
      <c r="I79" s="12">
        <v>0.84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 t="s">
        <v>267</v>
      </c>
      <c r="C80" s="26" t="s">
        <v>217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>
        <v>13</v>
      </c>
      <c r="C81" s="26" t="s">
        <v>218</v>
      </c>
      <c r="D81" s="12">
        <v>0</v>
      </c>
      <c r="E81" s="12">
        <v>1</v>
      </c>
      <c r="F81" s="12">
        <v>0</v>
      </c>
      <c r="G81" s="12">
        <v>1</v>
      </c>
      <c r="H81" s="12">
        <v>0.02</v>
      </c>
      <c r="I81" s="12">
        <v>0.03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 t="s">
        <v>267</v>
      </c>
      <c r="C82" s="26" t="s">
        <v>219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>
        <v>8</v>
      </c>
      <c r="C83" s="26" t="s">
        <v>137</v>
      </c>
      <c r="D83" s="12">
        <v>1</v>
      </c>
      <c r="E83" s="12">
        <v>1</v>
      </c>
      <c r="F83" s="12">
        <v>0</v>
      </c>
      <c r="G83" s="12">
        <v>2</v>
      </c>
      <c r="H83" s="12">
        <v>0.19</v>
      </c>
      <c r="I83" s="12">
        <v>0.26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2</v>
      </c>
      <c r="C84" s="26" t="s">
        <v>138</v>
      </c>
      <c r="D84" s="17">
        <v>3</v>
      </c>
      <c r="E84" s="12">
        <v>1</v>
      </c>
      <c r="F84" s="12">
        <v>0</v>
      </c>
      <c r="G84" s="12">
        <v>4</v>
      </c>
      <c r="H84" s="12">
        <v>0.45</v>
      </c>
      <c r="I84" s="12">
        <v>0.47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 t="s">
        <v>267</v>
      </c>
      <c r="C85" s="26" t="s">
        <v>220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267</v>
      </c>
      <c r="C86" s="26" t="s">
        <v>221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267</v>
      </c>
      <c r="C87" s="26" t="s">
        <v>222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267</v>
      </c>
      <c r="C88" s="26" t="s">
        <v>223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267</v>
      </c>
      <c r="C89" s="26" t="s">
        <v>224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>
        <v>3</v>
      </c>
      <c r="C90" s="26" t="s">
        <v>225</v>
      </c>
      <c r="D90" s="12">
        <v>2</v>
      </c>
      <c r="E90" s="12">
        <v>0</v>
      </c>
      <c r="F90" s="12">
        <v>0</v>
      </c>
      <c r="G90" s="12">
        <v>2</v>
      </c>
      <c r="H90" s="12">
        <v>0.01</v>
      </c>
      <c r="I90" s="12">
        <v>0.01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 t="s">
        <v>267</v>
      </c>
      <c r="C91" s="26" t="s">
        <v>226</v>
      </c>
      <c r="D91" s="12">
        <v>0</v>
      </c>
      <c r="E91" s="12">
        <v>0</v>
      </c>
      <c r="F91" s="12">
        <v>0</v>
      </c>
      <c r="G91" s="12">
        <v>0</v>
      </c>
      <c r="H91" s="12">
        <v>0</v>
      </c>
      <c r="I91" s="12">
        <v>0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267</v>
      </c>
      <c r="C92" s="26" t="s">
        <v>227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267</v>
      </c>
      <c r="C93" s="26" t="s">
        <v>228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3"/>
      <c r="B94" s="12"/>
      <c r="C94" s="24"/>
      <c r="D94" s="12"/>
      <c r="E94" s="12"/>
      <c r="F94" s="12"/>
      <c r="G94" s="12"/>
      <c r="H94" s="12"/>
      <c r="I94" s="12"/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2026-02-09T18:01:16Z</dcterms:modified>
</cp:coreProperties>
</file>