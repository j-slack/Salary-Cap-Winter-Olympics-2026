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911280AE-9C8E-4718-A063-C29A6E1D6A25}" xr6:coauthVersionLast="47" xr6:coauthVersionMax="47" xr10:uidLastSave="{00000000-0000-0000-0000-000000000000}"/>
  <bookViews>
    <workbookView xWindow="-120" yWindow="-120" windowWidth="29040" windowHeight="15720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L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15" i="3" l="1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<sst xmlns="http://schemas.openxmlformats.org/spreadsheetml/2006/main" count="464" uniqueCount="268">
  <si>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</si>
  <si>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</si>
  <si>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</si>
  <si>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</si>
  <si>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</si>
  <si>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</si>
  <si>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</si>
  <si>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</si>
  <si>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</si>
  <si>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</si>
  <si>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</si>
  <si>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</si>
  <si>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</si>
  <si>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</si>
  <si>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</si>
  <si>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</si>
  <si>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</si>
  <si>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</si>
  <si>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</si>
  <si>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</si>
  <si>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</si>
  <si>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</si>
  <si>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</si>
  <si>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</si>
  <si>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</si>
  <si>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</si>
  <si>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</si>
  <si>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</si>
  <si>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</si>
  <si>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</si>
  <si>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</si>
  <si>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</si>
  <si>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</si>
  <si>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</si>
  <si>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</si>
  <si>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</si>
  <si>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</si>
  <si>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</si>
  <si>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</si>
  <si>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</si>
  <si>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</si>
  <si>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</si>
  <si>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</si>
  <si>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</si>
  <si>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</si>
  <si>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</si>
  <si>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</si>
  <si>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</si>
  <si>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</si>
  <si>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</si>
  <si>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</si>
  <si>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</si>
  <si>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</si>
  <si>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</si>
  <si>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</si>
  <si>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</si>
  <si>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</si>
  <si>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</si>
  <si>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</si>
  <si>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</si>
  <si>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</si>
  <si>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</si>
  <si>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</si>
  <si>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</si>
  <si>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</si>
  <si>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</si>
  <si>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</si>
  <si>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</si>
  <si>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</si>
  <si>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</si>
  <si>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</si>
  <si>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</si>
  <si>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</si>
  <si>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</si>
  <si>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</si>
  <si>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</si>
  <si>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</si>
  <si>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</si>
  <si>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</si>
  <si>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</si>
  <si>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</si>
  <si>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</si>
  <si>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</si>
  <si>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</si>
  <si>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</si>
  <si>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</si>
  <si>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</si>
  <si>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</si>
  <si>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</si>
  <si>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</si>
  <si>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</si>
  <si>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</si>
  <si>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</si>
  <si>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</si>
  <si>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</si>
  <si>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</si>
  <si>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</si>
  <si>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</si>
  <si>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</si>
  <si>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</si>
  <si>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</si>
  <si>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</si>
  <si>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</si>
  <si>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</si>
  <si>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</si>
  <si>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</si>
  <si>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</si>
  <si>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</si>
  <si>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</si>
  <si>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</si>
  <si>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</si>
  <si>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</si>
  <si>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</si>
  <si>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</si>
  <si>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</si>
  <si>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</si>
  <si>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</si>
  <si>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</si>
  <si>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</si>
  <si>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</si>
  <si>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</si>
  <si>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</si>
  <si>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</si>
  <si>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</si>
  <si>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</si>
  <si>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</si>
  <si>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</si>
  <si>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</si>
  <si>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</si>
  <si>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</si>
  <si>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</si>
  <si>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</si>
  <si>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</si>
  <si>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</si>
  <si>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</si>
  <si>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</si>
  <si>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</si>
  <si>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</si>
  <si>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</si>
  <si>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</si>
  <si>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</si>
  <si>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</si>
  <si>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</si>
  <si>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</si>
  <si>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</si>
  <si>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</si>
  <si>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</si>
  <si>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</si>
  <si>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</si>
  <si>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</si>
  <si>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</si>
  <si>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</si>
  <si>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</si>
  <si>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</si>
  <si>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</si>
  <si>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</si>
  <si>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</si>
  <si>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</si>
  <si>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</si>
  <si>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</si>
  <si>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</si>
  <si>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</si>
  <si>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</si>
  <si>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</si>
  <si>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</si>
  <si>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</si>
  <si>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</si>
  <si>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</si>
  <si>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</si>
  <si>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</si>
  <si>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</si>
  <si>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</si>
  <si>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</si>
  <si>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</si>
  <si>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</si>
  <si>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</si>
  <si>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</si>
  <si>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</si>
  <si>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</si>
  <si>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</si>
  <si>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</si>
  <si>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</si>
  <si>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</si>
  <si>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</si>
  <si>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</si>
  <si>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</si>
  <si>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</si>
  <si>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</si>
  <si>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</si>
  <si>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</si>
  <si>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</si>
  <si>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</si>
  <si>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</si>
  <si>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</si>
  <si>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</si>
  <si>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</si>
  <si>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</si>
  <si>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</si>
  <si>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</si>
  <si>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</si>
  <si>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</si>
  <si>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</si>
  <si>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</si>
  <si>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</si>
  <si>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</si>
  <si>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</si>
  <si>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</si>
  <si>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</si>
  <si>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</si>
  <si>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</si>
  <si>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</si>
  <si>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</si>
  <si>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</si>
  <si>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</si>
  <si>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</si>
  <si>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</si>
  <si>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</si>
  <si>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</si>
  <si>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</si>
  <si>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</si>
  <si>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</si>
  <si>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</si>
  <si>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</si>
  <si>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</si>
  <si>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</si>
  <si>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</si>
  <si>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</si>
  <si>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</si>
  <si>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</si>
  <si>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</si>
  <si>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</si>
  <si>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</si>
  <si>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</si>
  <si>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</si>
  <si>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</si>
  <si>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</si>
  <si>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</si>
  <si>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</si>
  <si>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</si>
  <si>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</si>
  <si>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</si>
  <si>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</si>
  <si>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</si>
  <si>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</si>
  <si>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</si>
  <si>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</si>
  <si>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</si>
  <si>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</si>
  <si>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</si>
  <si>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</si>
  <si>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</si>
  <si>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</si>
  <si>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</si>
  <si>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</si>
  <si>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</si>
  <si>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</si>
  <si>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</si>
  <si>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Kurt (Austria, Czech, Italy, New Zealand, South Korea)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</si>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</sst>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I16" sqref="I16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257</v>
      </c>
      <c r="B2">
        <f>Events!U95</f>
        <v>40</v>
      </c>
    </row>
    <row r="3" spans="1:2" x14ac:dyDescent="0.2">
      <c r="A3" t="s">
        <v>267</v>
      </c>
      <c r="B3">
        <f>Events!Y95</f>
        <v>38</v>
      </c>
    </row>
    <row r="4" spans="1:2" x14ac:dyDescent="0.2">
      <c r="A4" t="s">
        <v>260</v>
      </c>
      <c r="B4">
        <f>Events!AI95</f>
        <v>36</v>
      </c>
    </row>
    <row r="5" spans="1:2" x14ac:dyDescent="0.2">
      <c r="A5" t="s">
        <v>256</v>
      </c>
      <c r="B5">
        <f>Events!N95</f>
        <v>29</v>
      </c>
    </row>
    <row r="6" spans="1:2" x14ac:dyDescent="0.2">
      <c r="A6" t="s">
        <v>245</v>
      </c>
      <c r="B6">
        <f>Events!W95</f>
        <v>34</v>
      </c>
    </row>
    <row r="7" spans="1:2" x14ac:dyDescent="0.2">
      <c r="A7" t="s">
        <v>261</v>
      </c>
      <c r="B7">
        <f>Events!O95</f>
        <v>33</v>
      </c>
    </row>
    <row r="8" spans="1:2" x14ac:dyDescent="0.2">
      <c r="A8" t="s">
        <v>258</v>
      </c>
      <c r="B8">
        <f>Events!AH95</f>
        <v>33</v>
      </c>
    </row>
    <row r="9" spans="1:2" x14ac:dyDescent="0.2">
      <c r="A9" t="s">
        <v>251</v>
      </c>
      <c r="B9">
        <f>Events!Q95</f>
        <v>34</v>
      </c>
    </row>
    <row r="10" spans="1:2" x14ac:dyDescent="0.2">
      <c r="A10" t="s">
        <v>262</v>
      </c>
      <c r="B10">
        <f>Events!S95</f>
        <v>29</v>
      </c>
    </row>
    <row r="11" spans="1:2" x14ac:dyDescent="0.2">
      <c r="A11" t="s">
        <v>263</v>
      </c>
      <c r="B11">
        <f>Events!R95</f>
        <v>30</v>
      </c>
    </row>
    <row r="12" spans="1:2" x14ac:dyDescent="0.2">
      <c r="A12" t="s">
        <v>264</v>
      </c>
      <c r="B12">
        <f>Events!AF95</f>
        <v>29</v>
      </c>
    </row>
    <row r="13" spans="1:2" x14ac:dyDescent="0.2">
      <c r="A13" t="s">
        <v>265</v>
      </c>
      <c r="B13">
        <f>Events!X95</f>
        <v>20</v>
      </c>
    </row>
    <row r="14" spans="1:2" x14ac:dyDescent="0.2">
      <c r="A14" t="s">
        <v>244</v>
      </c>
      <c r="B14">
        <f>Events!AE95</f>
        <v>30</v>
      </c>
    </row>
    <row r="15" spans="1:2" x14ac:dyDescent="0.2">
      <c r="A15" t="s">
        <v>249</v>
      </c>
      <c r="B15">
        <f>Events!AB95</f>
        <v>23</v>
      </c>
    </row>
    <row r="16" spans="1:2" x14ac:dyDescent="0.2">
      <c r="A16" t="s">
        <v>248</v>
      </c>
      <c r="B16">
        <f>Events!AD95</f>
        <v>23</v>
      </c>
    </row>
    <row r="17" spans="1:2" x14ac:dyDescent="0.2">
      <c r="A17" t="s">
        <v>259</v>
      </c>
      <c r="B17">
        <f>Events!AG95</f>
        <v>20</v>
      </c>
    </row>
    <row r="18" spans="1:2" x14ac:dyDescent="0.2">
      <c r="A18" t="s">
        <v>246</v>
      </c>
      <c r="B18">
        <f>Events!AA95</f>
        <v>28</v>
      </c>
    </row>
    <row r="19" spans="1:2" x14ac:dyDescent="0.2">
      <c r="A19" t="s">
        <v>247</v>
      </c>
      <c r="B19">
        <f>Events!AC95</f>
        <v>28</v>
      </c>
    </row>
    <row r="20" spans="1:2" x14ac:dyDescent="0.2">
      <c r="A20" t="s">
        <v>254</v>
      </c>
      <c r="B20">
        <f>Events!P95</f>
        <v>19</v>
      </c>
    </row>
    <row r="21" spans="1:2" x14ac:dyDescent="0.2">
      <c r="A21" t="s">
        <v>252</v>
      </c>
      <c r="B21">
        <f>Events!V95</f>
        <v>22</v>
      </c>
    </row>
    <row r="22" spans="1:2" x14ac:dyDescent="0.2">
      <c r="A22" t="s">
        <v>253</v>
      </c>
      <c r="B22">
        <f>Events!T95</f>
        <v>11</v>
      </c>
    </row>
    <row r="23" spans="1:2" x14ac:dyDescent="0.2">
      <c r="A23" t="s">
        <v>255</v>
      </c>
      <c r="B23">
        <f>Events!M95</f>
        <v>19</v>
      </c>
    </row>
    <row r="24" spans="1:2" x14ac:dyDescent="0.2">
      <c r="A24" t="s">
        <v>250</v>
      </c>
      <c r="B24">
        <f>Events!Z95</f>
        <v>19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56" activePane="bottomRight" state="frozen"/>
      <selection pane="topRight" activeCell="M1" sqref="M1"/>
      <selection pane="bottomLeft" activeCell="A2" sqref="A2"/>
      <selection pane="bottomRight" activeCell="A27" sqref="A27:XFD27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0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0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2</v>
      </c>
      <c r="J7" cm="1">
        <f t="array" ref="J7">INDEX('Medal Count'!E:E,Events!$C7)</f>
        <v>3</v>
      </c>
      <c r="K7" cm="1">
        <f t="array" ref="K7">INDEX('Medal Count'!F:F,Events!$C7)</f>
        <v>0</v>
      </c>
      <c r="L7">
        <f>SUM((I7*3)+(J7*2)+(K7*1))</f>
        <v>12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1</v>
      </c>
      <c r="L14">
        <f t="shared" si="2"/>
        <v>2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1</v>
      </c>
      <c r="K15" cm="1">
        <f t="array" ref="K15">INDEX('Medal Count'!F:F,Events!$C15)</f>
        <v>2</v>
      </c>
      <c r="L15">
        <f>SUM((I15*3)+(J15*2)+(K15*1))</f>
        <v>4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1</v>
      </c>
      <c r="K17" cm="1">
        <f t="array" ref="K17">INDEX('Medal Count'!F:F,Events!$C17)</f>
        <v>1</v>
      </c>
      <c r="L17">
        <f>SUM((I17*3)+(J17*2)+(K17*1))</f>
        <v>3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1</v>
      </c>
      <c r="J21" cm="1">
        <f t="array" ref="J21">INDEX('Medal Count'!E:E,Events!$C21)</f>
        <v>1</v>
      </c>
      <c r="K21" cm="1">
        <f t="array" ref="K21">INDEX('Medal Count'!F:F,Events!$C21)</f>
        <v>0</v>
      </c>
      <c r="L21">
        <f>SUM((I21*3)+(J21*2)+(K21*1))</f>
        <v>5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0</v>
      </c>
      <c r="L26">
        <f t="shared" si="5"/>
        <v>0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1</v>
      </c>
      <c r="J27" cm="1">
        <f t="array" ref="J27">INDEX('Medal Count'!E:E,Events!$C27)</f>
        <v>2</v>
      </c>
      <c r="K27" cm="1">
        <f t="array" ref="K27">INDEX('Medal Count'!F:F,Events!$C27)</f>
        <v>0</v>
      </c>
      <c r="L27">
        <f t="shared" si="5"/>
        <v>7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3</v>
      </c>
      <c r="J29" cm="1">
        <f t="array" ref="J29">INDEX('Medal Count'!E:E,Events!$C29)</f>
        <v>2</v>
      </c>
      <c r="K29" cm="1">
        <f t="array" ref="K29">INDEX('Medal Count'!F:F,Events!$C29)</f>
        <v>1</v>
      </c>
      <c r="L29">
        <f t="shared" ref="L29:L30" si="6">SUM((I29*3)+(J29*2)+(K29*1))</f>
        <v>14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2</v>
      </c>
      <c r="J42" cm="1">
        <f t="array" ref="J42">INDEX('Medal Count'!E:E,Events!$C42)</f>
        <v>2</v>
      </c>
      <c r="K42" cm="1">
        <f t="array" ref="K42">INDEX('Medal Count'!F:F,Events!$C42)</f>
        <v>7</v>
      </c>
      <c r="L42">
        <f>SUM((I42*3)+(J42*2)+(K42*1))</f>
        <v>17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2</v>
      </c>
      <c r="J44" cm="1">
        <f t="array" ref="J44">INDEX('Medal Count'!E:E,Events!$C44)</f>
        <v>2</v>
      </c>
      <c r="K44" cm="1">
        <f t="array" ref="K44">INDEX('Medal Count'!F:F,Events!$C44)</f>
        <v>4</v>
      </c>
      <c r="L44">
        <f>SUM((I44*3)+(J44*2)+(K44*1))</f>
        <v>14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0</v>
      </c>
      <c r="L49">
        <f>SUM((I49*3)+(J49*2)+(K49*1))</f>
        <v>2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1</v>
      </c>
      <c r="J63" cm="1">
        <f t="array" ref="J63">INDEX('Medal Count'!E:E,Events!$C63)</f>
        <v>1</v>
      </c>
      <c r="K63" cm="1">
        <f t="array" ref="K63">INDEX('Medal Count'!F:F,Events!$C63)</f>
        <v>0</v>
      </c>
      <c r="L63">
        <f t="shared" ref="L63:L64" si="11">SUM((I63*3)+(J63*2)+(K63*1))</f>
        <v>5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1</v>
      </c>
      <c r="L64">
        <f t="shared" si="11"/>
        <v>3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6</v>
      </c>
      <c r="J67" cm="1">
        <f t="array" ref="J67">INDEX('Medal Count'!E:E,Events!$C67)</f>
        <v>2</v>
      </c>
      <c r="K67" cm="1">
        <f t="array" ref="K67">INDEX('Medal Count'!F:F,Events!$C67)</f>
        <v>4</v>
      </c>
      <c r="L67">
        <f>SUM((I67*3)+(J67*2)+(K67*1))</f>
        <v>26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1</v>
      </c>
      <c r="K70" cm="1">
        <f t="array" ref="K70">INDEX('Medal Count'!F:F,Events!$C70)</f>
        <v>0</v>
      </c>
      <c r="L70">
        <f>SUM((I70*3)+(J70*2)+(K70*1))</f>
        <v>2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1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5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0</v>
      </c>
      <c r="J80" cm="1">
        <f t="array" ref="J80">INDEX('Medal Count'!E:E,Events!$C80)</f>
        <v>1</v>
      </c>
      <c r="K80" cm="1">
        <f t="array" ref="K80">INDEX('Medal Count'!F:F,Events!$C80)</f>
        <v>1</v>
      </c>
      <c r="L80">
        <f t="shared" ref="L80:L83" si="17">SUM((I80*3)+(J80*2)+(K80*1))</f>
        <v>3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3</v>
      </c>
      <c r="J82" cm="1">
        <f t="array" ref="J82">INDEX('Medal Count'!E:E,Events!$C82)</f>
        <v>2</v>
      </c>
      <c r="K82" cm="1">
        <f t="array" ref="K82">INDEX('Medal Count'!F:F,Events!$C82)</f>
        <v>1</v>
      </c>
      <c r="L82">
        <f t="shared" si="17"/>
        <v>14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3</v>
      </c>
      <c r="J83" cm="1">
        <f t="array" ref="J83">INDEX('Medal Count'!E:E,Events!$C83)</f>
        <v>1</v>
      </c>
      <c r="K83" cm="1">
        <f t="array" ref="K83">INDEX('Medal Count'!F:F,Events!$C83)</f>
        <v>1</v>
      </c>
      <c r="L83">
        <f t="shared" si="17"/>
        <v>12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2</v>
      </c>
      <c r="J90" cm="1">
        <f t="array" ref="J90">INDEX('Medal Count'!E:E,Events!$C90)</f>
        <v>3</v>
      </c>
      <c r="K90" cm="1">
        <f t="array" ref="K90">INDEX('Medal Count'!F:F,Events!$C90)</f>
        <v>2</v>
      </c>
      <c r="L90">
        <f>SUM((I90*3)+(J90*2)+(K90*1))</f>
        <v>14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19</v>
      </c>
      <c r="N95">
        <f t="shared" si="21"/>
        <v>29</v>
      </c>
      <c r="O95">
        <f t="shared" si="21"/>
        <v>33</v>
      </c>
      <c r="P95">
        <f t="shared" si="21"/>
        <v>19</v>
      </c>
      <c r="Q95">
        <f t="shared" si="21"/>
        <v>34</v>
      </c>
      <c r="R95">
        <f t="shared" si="21"/>
        <v>30</v>
      </c>
      <c r="S95">
        <f t="shared" si="21"/>
        <v>29</v>
      </c>
      <c r="T95">
        <f t="shared" si="21"/>
        <v>11</v>
      </c>
      <c r="U95">
        <f t="shared" si="21"/>
        <v>40</v>
      </c>
      <c r="V95">
        <f t="shared" si="21"/>
        <v>22</v>
      </c>
      <c r="W95">
        <f t="shared" si="21"/>
        <v>34</v>
      </c>
      <c r="X95">
        <f t="shared" si="21"/>
        <v>20</v>
      </c>
      <c r="Y95">
        <f t="shared" si="21"/>
        <v>38</v>
      </c>
      <c r="Z95">
        <f t="shared" si="21"/>
        <v>19</v>
      </c>
      <c r="AA95">
        <f t="shared" si="21"/>
        <v>28</v>
      </c>
      <c r="AB95">
        <f t="shared" si="21"/>
        <v>23</v>
      </c>
      <c r="AC95">
        <f t="shared" si="21"/>
        <v>28</v>
      </c>
      <c r="AD95">
        <f t="shared" si="21"/>
        <v>23</v>
      </c>
      <c r="AE95">
        <f t="shared" si="21"/>
        <v>30</v>
      </c>
      <c r="AF95">
        <f t="shared" si="21"/>
        <v>29</v>
      </c>
      <c r="AG95">
        <f t="shared" si="21"/>
        <v>20</v>
      </c>
      <c r="AH95">
        <f t="shared" si="21"/>
        <v>33</v>
      </c>
      <c r="AI95">
        <f t="shared" si="21"/>
        <v>36</v>
      </c>
    </row>
  </sheetData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X98"/>
  <sheetViews>
    <sheetView workbookViewId="0">
      <selection activeCell="O22" sqref="O22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24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24" x14ac:dyDescent="0.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24" ht="15.75" thickBot="1" x14ac:dyDescent="0.25">
      <c r="B3" s="12" t="s">
        <v>266</v>
      </c>
      <c r="C3" s="26" t="s">
        <v>141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25"/>
      <c r="K3" s="25"/>
      <c r="L3" s="25"/>
      <c r="Q3" s="18"/>
      <c r="R3" s="19"/>
      <c r="S3" s="18"/>
      <c r="T3" s="18"/>
      <c r="U3" s="18"/>
      <c r="V3" s="18"/>
      <c r="W3" s="18"/>
      <c r="X3" s="18"/>
    </row>
    <row r="4" spans="1:24" ht="15.75" thickBot="1" x14ac:dyDescent="0.25">
      <c r="A4" s="11"/>
      <c r="B4" s="12" t="s">
        <v>266</v>
      </c>
      <c r="C4" s="26" t="s">
        <v>142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24" ht="15.75" thickBot="1" x14ac:dyDescent="0.25">
      <c r="A5" s="11"/>
      <c r="B5" s="12" t="s">
        <v>266</v>
      </c>
      <c r="C5" s="26" t="s">
        <v>143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24" ht="15.75" thickBot="1" x14ac:dyDescent="0.25">
      <c r="A6" s="11"/>
      <c r="B6" s="12" t="s">
        <v>266</v>
      </c>
      <c r="C6" s="26" t="s">
        <v>144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24" ht="15.75" thickBot="1" x14ac:dyDescent="0.25">
      <c r="A7" s="11"/>
      <c r="B7" s="12" t="s">
        <v>266</v>
      </c>
      <c r="C7" s="26" t="s">
        <v>145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M7" s="20"/>
      <c r="N7" s="18"/>
      <c r="O7" s="19"/>
      <c r="P7" s="18"/>
      <c r="Q7" s="18"/>
      <c r="R7" s="18"/>
      <c r="S7" s="18"/>
      <c r="T7" s="18"/>
      <c r="U7" s="18"/>
    </row>
    <row r="8" spans="1:24" ht="15.75" thickBot="1" x14ac:dyDescent="0.25">
      <c r="A8" s="11"/>
      <c r="B8" s="12">
        <v>6</v>
      </c>
      <c r="C8" s="26" t="s">
        <v>146</v>
      </c>
      <c r="D8" s="12">
        <v>2</v>
      </c>
      <c r="E8" s="14">
        <v>3</v>
      </c>
      <c r="F8" s="12">
        <v>0</v>
      </c>
      <c r="G8" s="12">
        <v>5</v>
      </c>
      <c r="H8" s="12">
        <v>0.55000000000000004</v>
      </c>
      <c r="I8" s="12">
        <v>0.75</v>
      </c>
      <c r="M8" s="20"/>
      <c r="N8" s="18"/>
      <c r="O8" s="19"/>
      <c r="P8" s="18"/>
      <c r="Q8" s="18"/>
      <c r="R8" s="18"/>
      <c r="S8" s="18"/>
      <c r="T8" s="18"/>
      <c r="U8" s="18"/>
    </row>
    <row r="9" spans="1:24" ht="15.75" thickBot="1" x14ac:dyDescent="0.25">
      <c r="A9" s="11"/>
      <c r="B9" s="12" t="s">
        <v>266</v>
      </c>
      <c r="C9" s="26" t="s">
        <v>147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24" ht="15.75" thickBot="1" x14ac:dyDescent="0.25">
      <c r="A10" s="11"/>
      <c r="B10" s="12">
        <v>19</v>
      </c>
      <c r="C10" s="26" t="s">
        <v>148</v>
      </c>
      <c r="D10" s="12">
        <v>0</v>
      </c>
      <c r="E10" s="12">
        <v>0</v>
      </c>
      <c r="F10" s="12">
        <v>1</v>
      </c>
      <c r="G10" s="12">
        <v>1</v>
      </c>
      <c r="H10" s="12">
        <v>0.08</v>
      </c>
      <c r="I10" s="12">
        <v>0.11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24" ht="15.75" thickBot="1" x14ac:dyDescent="0.25">
      <c r="A11" s="11"/>
      <c r="B11" s="12" t="s">
        <v>266</v>
      </c>
      <c r="C11" s="26" t="s">
        <v>149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24" ht="15.75" thickBot="1" x14ac:dyDescent="0.25">
      <c r="A12" s="11"/>
      <c r="B12" s="12" t="s">
        <v>266</v>
      </c>
      <c r="C12" s="26" t="s">
        <v>150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24" ht="15.75" thickBot="1" x14ac:dyDescent="0.25">
      <c r="A13" s="11"/>
      <c r="B13" s="12" t="s">
        <v>266</v>
      </c>
      <c r="C13" s="26" t="s">
        <v>151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24" ht="15.75" thickBot="1" x14ac:dyDescent="0.25">
      <c r="A14" s="11"/>
      <c r="B14" s="12" t="s">
        <v>266</v>
      </c>
      <c r="C14" s="26" t="s">
        <v>152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24" ht="15.75" thickBot="1" x14ac:dyDescent="0.25">
      <c r="A15" s="11"/>
      <c r="B15" s="12">
        <v>19</v>
      </c>
      <c r="C15" s="26" t="s">
        <v>153</v>
      </c>
      <c r="D15" s="12">
        <v>0</v>
      </c>
      <c r="E15" s="12">
        <v>0</v>
      </c>
      <c r="F15" s="12">
        <v>1</v>
      </c>
      <c r="G15" s="12">
        <v>1</v>
      </c>
      <c r="H15" s="12">
        <v>0.16</v>
      </c>
      <c r="I15" s="12">
        <v>0.4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24" ht="15.75" thickBot="1" x14ac:dyDescent="0.25">
      <c r="A16" s="11"/>
      <c r="B16" s="12">
        <v>13</v>
      </c>
      <c r="C16" s="26" t="s">
        <v>154</v>
      </c>
      <c r="D16" s="12">
        <v>0</v>
      </c>
      <c r="E16" s="12">
        <v>1</v>
      </c>
      <c r="F16" s="12">
        <v>2</v>
      </c>
      <c r="G16" s="12">
        <v>3</v>
      </c>
      <c r="H16" s="12">
        <v>7.0000000000000007E-2</v>
      </c>
      <c r="I16" s="12">
        <v>0.11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 t="s">
        <v>266</v>
      </c>
      <c r="C17" s="26" t="s">
        <v>155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14</v>
      </c>
      <c r="C18" s="26" t="s">
        <v>156</v>
      </c>
      <c r="D18" s="12">
        <v>0</v>
      </c>
      <c r="E18" s="12">
        <v>1</v>
      </c>
      <c r="F18" s="12">
        <v>1</v>
      </c>
      <c r="G18" s="12">
        <v>2</v>
      </c>
      <c r="H18" s="12">
        <v>0</v>
      </c>
      <c r="I18" s="12">
        <v>0.01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 t="s">
        <v>266</v>
      </c>
      <c r="C19" s="26" t="s">
        <v>157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 t="s">
        <v>266</v>
      </c>
      <c r="C20" s="26" t="s">
        <v>158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 t="s">
        <v>266</v>
      </c>
      <c r="C21" s="26" t="s">
        <v>159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 t="s">
        <v>266</v>
      </c>
      <c r="C22" s="26" t="s">
        <v>160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10</v>
      </c>
      <c r="C23" s="26" t="s">
        <v>161</v>
      </c>
      <c r="D23" s="12">
        <v>1</v>
      </c>
      <c r="E23" s="12">
        <v>1</v>
      </c>
      <c r="F23" s="12">
        <v>0</v>
      </c>
      <c r="G23" s="12">
        <v>2</v>
      </c>
      <c r="H23" s="12">
        <v>0.18</v>
      </c>
      <c r="I23" s="12">
        <v>0.32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 t="s">
        <v>266</v>
      </c>
      <c r="C24" s="26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 t="s">
        <v>266</v>
      </c>
      <c r="C25" s="26" t="s">
        <v>163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 t="s">
        <v>266</v>
      </c>
      <c r="C26" s="26" t="s">
        <v>164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 t="s">
        <v>266</v>
      </c>
      <c r="C27" s="26" t="s">
        <v>165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 t="s">
        <v>266</v>
      </c>
      <c r="C28" s="26" t="s">
        <v>166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9</v>
      </c>
      <c r="C29" s="26" t="s">
        <v>167</v>
      </c>
      <c r="D29" s="12">
        <v>1</v>
      </c>
      <c r="E29" s="12">
        <v>2</v>
      </c>
      <c r="F29" s="12">
        <v>0</v>
      </c>
      <c r="G29" s="12">
        <v>3</v>
      </c>
      <c r="H29" s="12">
        <v>0.04</v>
      </c>
      <c r="I29" s="12">
        <v>7.0000000000000007E-2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 t="s">
        <v>266</v>
      </c>
      <c r="C30" s="26" t="s">
        <v>168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2</v>
      </c>
      <c r="C31" s="26" t="s">
        <v>169</v>
      </c>
      <c r="D31" s="12">
        <v>3</v>
      </c>
      <c r="E31" s="12">
        <v>2</v>
      </c>
      <c r="F31" s="12">
        <v>1</v>
      </c>
      <c r="G31" s="12">
        <v>6</v>
      </c>
      <c r="H31" s="12">
        <v>7.0000000000000007E-2</v>
      </c>
      <c r="I31" s="12">
        <v>0.1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 t="s">
        <v>266</v>
      </c>
      <c r="C32" s="26" t="s">
        <v>170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 t="s">
        <v>266</v>
      </c>
      <c r="C33" s="26" t="s">
        <v>171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 t="s">
        <v>266</v>
      </c>
      <c r="C34" s="26" t="s">
        <v>172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 t="s">
        <v>266</v>
      </c>
      <c r="C35" s="26" t="s">
        <v>173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 t="s">
        <v>266</v>
      </c>
      <c r="C36" s="26" t="s">
        <v>174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 t="s">
        <v>266</v>
      </c>
      <c r="C37" s="26" t="s">
        <v>175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 t="s">
        <v>266</v>
      </c>
      <c r="C38" s="26" t="s">
        <v>176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 t="s">
        <v>266</v>
      </c>
      <c r="C39" s="26" t="s">
        <v>177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 t="s">
        <v>266</v>
      </c>
      <c r="C40" s="26" t="s">
        <v>178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 t="s">
        <v>266</v>
      </c>
      <c r="C41" s="26" t="s">
        <v>179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 t="s">
        <v>266</v>
      </c>
      <c r="C42" s="26" t="s">
        <v>180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7</v>
      </c>
      <c r="C43" s="26" t="s">
        <v>139</v>
      </c>
      <c r="D43" s="12">
        <v>2</v>
      </c>
      <c r="E43" s="12">
        <v>2</v>
      </c>
      <c r="F43" s="15">
        <v>7</v>
      </c>
      <c r="G43" s="12">
        <v>11</v>
      </c>
      <c r="H43" s="12">
        <v>0.19</v>
      </c>
      <c r="I43" s="12">
        <v>0.3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 t="s">
        <v>266</v>
      </c>
      <c r="C44" s="26" t="s">
        <v>181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8</v>
      </c>
      <c r="C45" s="26" t="s">
        <v>182</v>
      </c>
      <c r="D45" s="12">
        <v>2</v>
      </c>
      <c r="E45" s="12">
        <v>2</v>
      </c>
      <c r="F45" s="12">
        <v>4</v>
      </c>
      <c r="G45" s="12">
        <v>8</v>
      </c>
      <c r="H45" s="12">
        <v>0.06</v>
      </c>
      <c r="I45" s="12">
        <v>0.12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 t="s">
        <v>266</v>
      </c>
      <c r="C46" s="26" t="s">
        <v>183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 t="s">
        <v>266</v>
      </c>
      <c r="C47" s="26" t="s">
        <v>184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 t="s">
        <v>266</v>
      </c>
      <c r="C48" s="26" t="s">
        <v>185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 t="s">
        <v>266</v>
      </c>
      <c r="C49" s="26" t="s">
        <v>186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>
        <v>17</v>
      </c>
      <c r="C50" s="26" t="s">
        <v>187</v>
      </c>
      <c r="D50" s="12">
        <v>0</v>
      </c>
      <c r="E50" s="12">
        <v>1</v>
      </c>
      <c r="F50" s="12">
        <v>0</v>
      </c>
      <c r="G50" s="12">
        <v>1</v>
      </c>
      <c r="H50" s="12">
        <v>0.53</v>
      </c>
      <c r="I50" s="12">
        <v>1.26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 t="s">
        <v>266</v>
      </c>
      <c r="C51" s="26" t="s">
        <v>188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 t="s">
        <v>266</v>
      </c>
      <c r="C52" s="26" t="s">
        <v>189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 t="s">
        <v>266</v>
      </c>
      <c r="C53" s="26" t="s">
        <v>190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 t="s">
        <v>266</v>
      </c>
      <c r="C54" s="26" t="s">
        <v>191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 t="s">
        <v>266</v>
      </c>
      <c r="C55" s="26" t="s">
        <v>192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 t="s">
        <v>266</v>
      </c>
      <c r="C56" s="26" t="s">
        <v>193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 t="s">
        <v>266</v>
      </c>
      <c r="C57" s="26" t="s">
        <v>194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 t="s">
        <v>266</v>
      </c>
      <c r="C58" s="26" t="s">
        <v>195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 t="s">
        <v>266</v>
      </c>
      <c r="C59" s="26" t="s">
        <v>196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 t="s">
        <v>266</v>
      </c>
      <c r="C60" s="26" t="s">
        <v>197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 t="s">
        <v>266</v>
      </c>
      <c r="C61" s="26" t="s">
        <v>198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 t="s">
        <v>266</v>
      </c>
      <c r="C62" s="26" t="s">
        <v>199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 t="s">
        <v>266</v>
      </c>
      <c r="C63" s="26" t="s">
        <v>200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10</v>
      </c>
      <c r="C64" s="26" t="s">
        <v>201</v>
      </c>
      <c r="D64" s="12">
        <v>1</v>
      </c>
      <c r="E64" s="12">
        <v>1</v>
      </c>
      <c r="F64" s="12">
        <v>0</v>
      </c>
      <c r="G64" s="12">
        <v>2</v>
      </c>
      <c r="H64" s="12">
        <v>0.11</v>
      </c>
      <c r="I64" s="12">
        <v>0.14000000000000001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14</v>
      </c>
      <c r="C65" s="26" t="s">
        <v>202</v>
      </c>
      <c r="D65" s="12">
        <v>0</v>
      </c>
      <c r="E65" s="12">
        <v>1</v>
      </c>
      <c r="F65" s="12">
        <v>1</v>
      </c>
      <c r="G65" s="12">
        <v>2</v>
      </c>
      <c r="H65" s="12">
        <v>0.38</v>
      </c>
      <c r="I65" s="12">
        <v>0.7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 t="s">
        <v>266</v>
      </c>
      <c r="C66" s="26" t="s">
        <v>203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 t="s">
        <v>266</v>
      </c>
      <c r="C67" s="26" t="s">
        <v>204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</v>
      </c>
      <c r="C68" s="26" t="s">
        <v>140</v>
      </c>
      <c r="D68" s="17">
        <v>6</v>
      </c>
      <c r="E68" s="12">
        <v>2</v>
      </c>
      <c r="F68" s="12">
        <v>4</v>
      </c>
      <c r="G68" s="16">
        <v>12</v>
      </c>
      <c r="H68" s="12">
        <v>2.15</v>
      </c>
      <c r="I68" s="12">
        <v>2.0699999999999998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 t="s">
        <v>266</v>
      </c>
      <c r="C69" s="26" t="s">
        <v>205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 t="s">
        <v>266</v>
      </c>
      <c r="C70" s="26" t="s">
        <v>206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17</v>
      </c>
      <c r="C71" s="26" t="s">
        <v>207</v>
      </c>
      <c r="D71" s="12">
        <v>0</v>
      </c>
      <c r="E71" s="12">
        <v>1</v>
      </c>
      <c r="F71" s="12">
        <v>0</v>
      </c>
      <c r="G71" s="12">
        <v>1</v>
      </c>
      <c r="H71" s="12">
        <v>0.03</v>
      </c>
      <c r="I71" s="12">
        <v>0.05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 t="s">
        <v>266</v>
      </c>
      <c r="C72" s="26" t="s">
        <v>208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 t="s">
        <v>266</v>
      </c>
      <c r="C73" s="26" t="s">
        <v>209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 t="s">
        <v>266</v>
      </c>
      <c r="C74" s="26" t="s">
        <v>210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 t="s">
        <v>266</v>
      </c>
      <c r="C75" s="26" t="s">
        <v>211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 t="s">
        <v>266</v>
      </c>
      <c r="C76" s="26" t="s">
        <v>212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 t="s">
        <v>266</v>
      </c>
      <c r="C77" s="26" t="s">
        <v>213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 t="s">
        <v>266</v>
      </c>
      <c r="C78" s="26" t="s">
        <v>214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 t="s">
        <v>266</v>
      </c>
      <c r="C79" s="26" t="s">
        <v>215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10</v>
      </c>
      <c r="C80" s="26" t="s">
        <v>216</v>
      </c>
      <c r="D80" s="12">
        <v>1</v>
      </c>
      <c r="E80" s="12">
        <v>1</v>
      </c>
      <c r="F80" s="12">
        <v>0</v>
      </c>
      <c r="G80" s="12">
        <v>2</v>
      </c>
      <c r="H80" s="12">
        <v>0.94</v>
      </c>
      <c r="I80" s="12">
        <v>1.68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 t="s">
        <v>266</v>
      </c>
      <c r="C81" s="26" t="s">
        <v>217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14</v>
      </c>
      <c r="C82" s="26" t="s">
        <v>218</v>
      </c>
      <c r="D82" s="12">
        <v>0</v>
      </c>
      <c r="E82" s="12">
        <v>1</v>
      </c>
      <c r="F82" s="12">
        <v>1</v>
      </c>
      <c r="G82" s="12">
        <v>2</v>
      </c>
      <c r="H82" s="12">
        <v>0.04</v>
      </c>
      <c r="I82" s="12">
        <v>0.06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 t="s">
        <v>266</v>
      </c>
      <c r="C83" s="26" t="s">
        <v>219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2</v>
      </c>
      <c r="C84" s="26" t="s">
        <v>137</v>
      </c>
      <c r="D84" s="12">
        <v>3</v>
      </c>
      <c r="E84" s="12">
        <v>2</v>
      </c>
      <c r="F84" s="12">
        <v>1</v>
      </c>
      <c r="G84" s="12">
        <v>6</v>
      </c>
      <c r="H84" s="12">
        <v>0.56999999999999995</v>
      </c>
      <c r="I84" s="12">
        <v>0.79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4</v>
      </c>
      <c r="C85" s="26" t="s">
        <v>138</v>
      </c>
      <c r="D85" s="12">
        <v>3</v>
      </c>
      <c r="E85" s="12">
        <v>1</v>
      </c>
      <c r="F85" s="12">
        <v>1</v>
      </c>
      <c r="G85" s="12">
        <v>5</v>
      </c>
      <c r="H85" s="12">
        <v>0.56000000000000005</v>
      </c>
      <c r="I85" s="12">
        <v>0.59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 t="s">
        <v>266</v>
      </c>
      <c r="C86" s="26" t="s">
        <v>220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 t="s">
        <v>266</v>
      </c>
      <c r="C87" s="26" t="s">
        <v>221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 t="s">
        <v>266</v>
      </c>
      <c r="C88" s="26" t="s">
        <v>222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 t="s">
        <v>266</v>
      </c>
      <c r="C89" s="26" t="s">
        <v>223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 t="s">
        <v>266</v>
      </c>
      <c r="C90" s="26" t="s">
        <v>224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5</v>
      </c>
      <c r="C91" s="26" t="s">
        <v>225</v>
      </c>
      <c r="D91" s="12">
        <v>2</v>
      </c>
      <c r="E91" s="14">
        <v>3</v>
      </c>
      <c r="F91" s="12">
        <v>2</v>
      </c>
      <c r="G91" s="12">
        <v>7</v>
      </c>
      <c r="H91" s="12">
        <v>0.02</v>
      </c>
      <c r="I91" s="12">
        <v>0.02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 t="s">
        <v>266</v>
      </c>
      <c r="C92" s="26" t="s">
        <v>226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 t="s">
        <v>266</v>
      </c>
      <c r="C93" s="26" t="s">
        <v>227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1"/>
      <c r="B94" s="12" t="s">
        <v>266</v>
      </c>
      <c r="C94" s="26" t="s">
        <v>228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2026-02-10T22:31:28Z</dcterms:modified>
</cp:coreProperties>
</file>